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thi2revithiadou/Desktop/Lg&amp;Sp_reviews/article/revision/Supplemental_materials/Hypothesis_testing_results/"/>
    </mc:Choice>
  </mc:AlternateContent>
  <xr:revisionPtr revIDLastSave="0" documentId="13_ncr:1_{FA3B247C-3039-A54F-9477-A7959164A99F}" xr6:coauthVersionLast="47" xr6:coauthVersionMax="47" xr10:uidLastSave="{00000000-0000-0000-0000-000000000000}"/>
  <bookViews>
    <workbookView xWindow="1460" yWindow="660" windowWidth="20660" windowHeight="14020" xr2:uid="{00000000-000D-0000-FFFF-FFFF00000000}"/>
  </bookViews>
  <sheets>
    <sheet name="Tests" sheetId="1" r:id="rId1"/>
    <sheet name="Param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J29" i="1"/>
  <c r="J12" i="1"/>
  <c r="J28" i="1"/>
  <c r="J11" i="1"/>
  <c r="J27" i="1"/>
  <c r="J10" i="1"/>
  <c r="J26" i="1"/>
  <c r="J9" i="1"/>
  <c r="J25" i="1"/>
  <c r="J8" i="1"/>
  <c r="J24" i="1"/>
  <c r="J7" i="1"/>
  <c r="J23" i="1"/>
  <c r="J6" i="1"/>
  <c r="J22" i="1"/>
  <c r="J5" i="1"/>
  <c r="J21" i="1"/>
  <c r="J4" i="1"/>
  <c r="J20" i="1"/>
  <c r="J15" i="1"/>
  <c r="J19" i="1"/>
  <c r="J14" i="1"/>
  <c r="J18" i="1"/>
  <c r="J3" i="1"/>
  <c r="J17" i="1"/>
  <c r="J2" i="1"/>
  <c r="J16" i="1"/>
  <c r="I13" i="1"/>
  <c r="I29" i="1"/>
  <c r="I12" i="1"/>
  <c r="I28" i="1"/>
  <c r="I11" i="1"/>
  <c r="I27" i="1"/>
  <c r="I10" i="1"/>
  <c r="I26" i="1"/>
  <c r="I9" i="1"/>
  <c r="I25" i="1"/>
  <c r="I8" i="1"/>
  <c r="I24" i="1"/>
  <c r="I7" i="1"/>
  <c r="I23" i="1"/>
  <c r="I6" i="1"/>
  <c r="I22" i="1"/>
  <c r="I5" i="1"/>
  <c r="I21" i="1"/>
  <c r="I4" i="1"/>
  <c r="I20" i="1"/>
  <c r="I15" i="1"/>
  <c r="I19" i="1"/>
  <c r="I14" i="1"/>
  <c r="I18" i="1"/>
  <c r="I3" i="1"/>
  <c r="I17" i="1"/>
  <c r="I2" i="1"/>
  <c r="I16" i="1"/>
  <c r="N26" i="1"/>
  <c r="N7" i="1"/>
  <c r="N6" i="1"/>
  <c r="N22" i="1"/>
  <c r="N20" i="1"/>
  <c r="N15" i="1"/>
  <c r="N18" i="1"/>
  <c r="N16" i="1"/>
  <c r="H29" i="1"/>
  <c r="H28" i="1"/>
  <c r="H25" i="1"/>
  <c r="H21" i="1"/>
  <c r="K21" i="1" s="1"/>
  <c r="H20" i="1"/>
  <c r="H3" i="1"/>
  <c r="K3" i="1" s="1"/>
  <c r="H2" i="1"/>
  <c r="H16" i="1"/>
  <c r="C8" i="1"/>
  <c r="C24" i="1"/>
  <c r="L13" i="1"/>
  <c r="M13" i="1" s="1"/>
  <c r="G13" i="1"/>
  <c r="H13" i="1" s="1"/>
  <c r="K13" i="1" s="1"/>
  <c r="M29" i="1"/>
  <c r="L29" i="1"/>
  <c r="K29" i="1"/>
  <c r="G29" i="1"/>
  <c r="L12" i="1"/>
  <c r="M12" i="1" s="1"/>
  <c r="N12" i="1" s="1"/>
  <c r="O12" i="1" s="1"/>
  <c r="G12" i="1"/>
  <c r="H12" i="1" s="1"/>
  <c r="L28" i="1"/>
  <c r="M28" i="1" s="1"/>
  <c r="N28" i="1" s="1"/>
  <c r="G28" i="1"/>
  <c r="L11" i="1"/>
  <c r="M11" i="1" s="1"/>
  <c r="G11" i="1"/>
  <c r="H11" i="1" s="1"/>
  <c r="K11" i="1" s="1"/>
  <c r="L27" i="1"/>
  <c r="M27" i="1" s="1"/>
  <c r="G27" i="1"/>
  <c r="H27" i="1" s="1"/>
  <c r="K27" i="1" s="1"/>
  <c r="M10" i="1"/>
  <c r="N10" i="1" s="1"/>
  <c r="O10" i="1" s="1"/>
  <c r="L10" i="1"/>
  <c r="G10" i="1"/>
  <c r="H10" i="1" s="1"/>
  <c r="L26" i="1"/>
  <c r="M26" i="1" s="1"/>
  <c r="G26" i="1"/>
  <c r="L9" i="1"/>
  <c r="M9" i="1" s="1"/>
  <c r="G9" i="1"/>
  <c r="H9" i="1" s="1"/>
  <c r="K9" i="1" s="1"/>
  <c r="M25" i="1"/>
  <c r="L25" i="1"/>
  <c r="G25" i="1"/>
  <c r="L8" i="1"/>
  <c r="M8" i="1" s="1"/>
  <c r="N8" i="1" s="1"/>
  <c r="O8" i="1" s="1"/>
  <c r="G8" i="1"/>
  <c r="H8" i="1" s="1"/>
  <c r="L24" i="1"/>
  <c r="M24" i="1" s="1"/>
  <c r="N24" i="1" s="1"/>
  <c r="G24" i="1"/>
  <c r="L7" i="1"/>
  <c r="M7" i="1" s="1"/>
  <c r="G7" i="1"/>
  <c r="H7" i="1" s="1"/>
  <c r="K7" i="1" s="1"/>
  <c r="L23" i="1"/>
  <c r="M23" i="1" s="1"/>
  <c r="G23" i="1"/>
  <c r="H23" i="1" s="1"/>
  <c r="K23" i="1" s="1"/>
  <c r="O6" i="1"/>
  <c r="M6" i="1"/>
  <c r="L6" i="1"/>
  <c r="G6" i="1"/>
  <c r="L22" i="1"/>
  <c r="M22" i="1" s="1"/>
  <c r="G22" i="1"/>
  <c r="H22" i="1" s="1"/>
  <c r="L5" i="1"/>
  <c r="M5" i="1" s="1"/>
  <c r="G5" i="1"/>
  <c r="H5" i="1" s="1"/>
  <c r="K5" i="1" s="1"/>
  <c r="M21" i="1"/>
  <c r="N21" i="1" s="1"/>
  <c r="L21" i="1"/>
  <c r="G21" i="1"/>
  <c r="M4" i="1"/>
  <c r="N4" i="1" s="1"/>
  <c r="O4" i="1" s="1"/>
  <c r="L4" i="1"/>
  <c r="G4" i="1"/>
  <c r="L20" i="1"/>
  <c r="M20" i="1" s="1"/>
  <c r="G20" i="1"/>
  <c r="L15" i="1"/>
  <c r="M15" i="1" s="1"/>
  <c r="G15" i="1"/>
  <c r="H15" i="1" s="1"/>
  <c r="K15" i="1" s="1"/>
  <c r="M19" i="1"/>
  <c r="L19" i="1"/>
  <c r="G19" i="1"/>
  <c r="H19" i="1" s="1"/>
  <c r="K19" i="1" s="1"/>
  <c r="L14" i="1"/>
  <c r="M14" i="1" s="1"/>
  <c r="N14" i="1" s="1"/>
  <c r="O14" i="1" s="1"/>
  <c r="G14" i="1"/>
  <c r="L18" i="1"/>
  <c r="M18" i="1" s="1"/>
  <c r="G18" i="1"/>
  <c r="H18" i="1" s="1"/>
  <c r="L3" i="1"/>
  <c r="M3" i="1" s="1"/>
  <c r="G3" i="1"/>
  <c r="L17" i="1"/>
  <c r="M17" i="1" s="1"/>
  <c r="G17" i="1"/>
  <c r="H17" i="1" s="1"/>
  <c r="K17" i="1" s="1"/>
  <c r="M2" i="1"/>
  <c r="N2" i="1" s="1"/>
  <c r="O2" i="1" s="1"/>
  <c r="L2" i="1"/>
  <c r="G2" i="1"/>
  <c r="L16" i="1"/>
  <c r="M16" i="1" s="1"/>
  <c r="G16" i="1"/>
  <c r="N17" i="1" l="1"/>
  <c r="O17" i="1" s="1"/>
  <c r="N27" i="1"/>
  <c r="O27" i="1" s="1"/>
  <c r="N23" i="1"/>
  <c r="O23" i="1" s="1"/>
  <c r="O3" i="1"/>
  <c r="K4" i="1"/>
  <c r="H4" i="1"/>
  <c r="H24" i="1"/>
  <c r="K24" i="1" s="1"/>
  <c r="O18" i="1"/>
  <c r="K14" i="1"/>
  <c r="O15" i="1"/>
  <c r="K6" i="1"/>
  <c r="H14" i="1"/>
  <c r="H6" i="1"/>
  <c r="K8" i="1"/>
  <c r="N19" i="1"/>
  <c r="O19" i="1" s="1"/>
  <c r="O16" i="1"/>
  <c r="K2" i="1"/>
  <c r="K20" i="1"/>
  <c r="K25" i="1"/>
  <c r="K10" i="1"/>
  <c r="N25" i="1"/>
  <c r="O25" i="1" s="1"/>
  <c r="N29" i="1"/>
  <c r="O29" i="1" s="1"/>
  <c r="O28" i="1"/>
  <c r="K12" i="1"/>
  <c r="N11" i="1"/>
  <c r="O11" i="1" s="1"/>
  <c r="K16" i="1"/>
  <c r="H26" i="1"/>
  <c r="K26" i="1" s="1"/>
  <c r="O21" i="1"/>
  <c r="O7" i="1"/>
  <c r="N3" i="1"/>
  <c r="N5" i="1"/>
  <c r="O5" i="1" s="1"/>
  <c r="N9" i="1"/>
  <c r="O9" i="1" s="1"/>
  <c r="N13" i="1"/>
  <c r="O13" i="1" s="1"/>
  <c r="O20" i="1"/>
  <c r="O22" i="1"/>
  <c r="O24" i="1"/>
  <c r="O26" i="1"/>
  <c r="K18" i="1"/>
  <c r="K28" i="1"/>
  <c r="K22" i="1"/>
</calcChain>
</file>

<file path=xl/sharedStrings.xml><?xml version="1.0" encoding="utf-8"?>
<sst xmlns="http://schemas.openxmlformats.org/spreadsheetml/2006/main" count="74" uniqueCount="27">
  <si>
    <t>Class</t>
  </si>
  <si>
    <t>Property</t>
  </si>
  <si>
    <t>Lexicon_p0</t>
  </si>
  <si>
    <t>Experimental_phat</t>
  </si>
  <si>
    <t>Raw_successes</t>
  </si>
  <si>
    <t>n_case</t>
  </si>
  <si>
    <t>aF</t>
  </si>
  <si>
    <t>iF</t>
  </si>
  <si>
    <t>iN</t>
  </si>
  <si>
    <t>isM</t>
  </si>
  <si>
    <t>maN</t>
  </si>
  <si>
    <t>oN</t>
  </si>
  <si>
    <t>osM</t>
  </si>
  <si>
    <t>APU</t>
  </si>
  <si>
    <t>PU</t>
  </si>
  <si>
    <t>rho</t>
  </si>
  <si>
    <t>n_participants</t>
  </si>
  <si>
    <t>m_items</t>
  </si>
  <si>
    <t>Z</t>
  </si>
  <si>
    <t>p_value_2s</t>
  </si>
  <si>
    <t>CI_low</t>
  </si>
  <si>
    <t>CI_high</t>
  </si>
  <si>
    <t>Signif_0.05</t>
  </si>
  <si>
    <t>ICC_Neff_rho</t>
  </si>
  <si>
    <t>ICC_Z</t>
  </si>
  <si>
    <t>ICC_p_value_2s</t>
  </si>
  <si>
    <t>ICC_Signif_0.05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</si>
</sst>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0" xfId="0" applyNumberFormat="1" applyFont="1"/>
    <xf numFmtId="0" fontId="1" fillId="0" borderId="0" xfId="0" applyFont="1"/>
    <xf numFmtId="0" fontId="0" fillId="0" borderId="2" xfId="0" applyBorder="1"/>
    <xf numFmtId="164" fontId="0" fillId="0" borderId="2" xfId="0" applyNumberForma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tabSelected="1" topLeftCell="E1" workbookViewId="0">
      <selection activeCell="A16" sqref="A1:O29"/>
    </sheetView>
  </sheetViews>
  <sheetFormatPr baseColWidth="10" defaultColWidth="8.83203125" defaultRowHeight="15" x14ac:dyDescent="0.2"/>
  <cols>
    <col min="3" max="6" width="12.6640625" style="1" customWidth="1"/>
    <col min="7" max="15" width="14.6640625" style="1" customWidth="1"/>
  </cols>
  <sheetData>
    <row r="1" spans="1:15" s="4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</row>
    <row r="2" spans="1:15" x14ac:dyDescent="0.2">
      <c r="A2" t="s">
        <v>6</v>
      </c>
      <c r="B2" t="s">
        <v>13</v>
      </c>
      <c r="C2" s="1">
        <v>0.16333938294010891</v>
      </c>
      <c r="D2" s="1">
        <v>0.2424242424242424</v>
      </c>
      <c r="E2" s="1">
        <v>48</v>
      </c>
      <c r="F2" s="1">
        <v>198</v>
      </c>
      <c r="G2" s="1">
        <f>(D2-C2)/SQRT(C2*(1-C2)/F2)</f>
        <v>3.0102725881221479</v>
      </c>
      <c r="H2" s="1">
        <f>2*(1-_xlfn.NORM.S.DIST(ABS(G2),TRUE))</f>
        <v>2.6101332456156534E-3</v>
      </c>
      <c r="I2" s="1">
        <f>(D2 + 1.96^2/(2*F2) - 1.96*SQRT(D2*(1-D2)/F2 + 1.96^2/(4*F2^2)))/(1 + 1.96^2/F2)</f>
        <v>0.18800135065839524</v>
      </c>
      <c r="J2" s="1">
        <f>(D2 + 1.96^2/(2*F2) + 1.96*SQRT(D2*(1-D2)/F2 + 1.96^2/(4*F2^2)))/(1 + 1.96^2/F2)</f>
        <v>0.30665188237186214</v>
      </c>
      <c r="K2" s="1" t="str">
        <f>IF(H2&lt;0.05,"Yes","No")</f>
        <v>Yes</v>
      </c>
      <c r="L2" s="1">
        <f>(Params!$B$2*Params!$C$2)/(1+(Params!$C$2-1)*Params!$A$2)</f>
        <v>76.153846153846146</v>
      </c>
      <c r="M2" s="1">
        <f>(D2-C2)/SQRT(C2*(1-C2)/L2)</f>
        <v>1.8668918075445011</v>
      </c>
      <c r="N2" s="1">
        <f>2*(1-_xlfn.NORM.S.DIST(ABS(M2),TRUE))</f>
        <v>6.1916698153853478E-2</v>
      </c>
      <c r="O2" s="1" t="str">
        <f>IF(N2&lt;0.05,"Yes","No")</f>
        <v>No</v>
      </c>
    </row>
    <row r="3" spans="1:15" x14ac:dyDescent="0.2">
      <c r="A3" t="s">
        <v>6</v>
      </c>
      <c r="B3" t="s">
        <v>14</v>
      </c>
      <c r="C3" s="1">
        <v>0.68784029038112526</v>
      </c>
      <c r="D3" s="1">
        <v>0.69696969696969702</v>
      </c>
      <c r="E3" s="1">
        <v>138</v>
      </c>
      <c r="F3" s="1">
        <v>198</v>
      </c>
      <c r="G3" s="1">
        <f>(D3-C3)/SQRT(C3*(1-C3)/F3)</f>
        <v>0.27723171708573069</v>
      </c>
      <c r="H3" s="1">
        <f>2*(1-_xlfn.NORM.S.DIST(ABS(G3),TRUE))</f>
        <v>0.78160218699855744</v>
      </c>
      <c r="I3" s="1">
        <f>(D3 + 1.96^2/(2*F3) - 1.96*SQRT(D3*(1-D3)/F3 + 1.96^2/(4*F3^2)))/(1 + 1.96^2/F3)</f>
        <v>0.62970841411047007</v>
      </c>
      <c r="J3" s="1">
        <f>(D3 + 1.96^2/(2*F3) + 1.96*SQRT(D3*(1-D3)/F3 + 1.96^2/(4*F3^2)))/(1 + 1.96^2/F3)</f>
        <v>0.75673323121933322</v>
      </c>
      <c r="K3" s="1" t="str">
        <f>IF(H3&lt;0.05,"Yes","No")</f>
        <v>No</v>
      </c>
      <c r="L3" s="1">
        <f>(Params!$B$2*Params!$C$2)/(1+(Params!$C$2-1)*Params!$A$2)</f>
        <v>76.153846153846146</v>
      </c>
      <c r="M3" s="1">
        <f>(D3-C3)/SQRT(C3*(1-C3)/L3)</f>
        <v>0.17193181224219564</v>
      </c>
      <c r="N3" s="1">
        <f>2*(1-_xlfn.NORM.S.DIST(ABS(M3),TRUE))</f>
        <v>0.86349113642176611</v>
      </c>
      <c r="O3" s="1" t="str">
        <f>IF(N3&lt;0.05,"Yes","No")</f>
        <v>No</v>
      </c>
    </row>
    <row r="4" spans="1:15" x14ac:dyDescent="0.2">
      <c r="A4" t="s">
        <v>8</v>
      </c>
      <c r="B4" t="s">
        <v>13</v>
      </c>
      <c r="C4" s="1">
        <v>3.154574132492113E-3</v>
      </c>
      <c r="D4" s="1">
        <v>8.0808080808080815E-2</v>
      </c>
      <c r="E4" s="1">
        <v>16</v>
      </c>
      <c r="F4" s="1">
        <v>198</v>
      </c>
      <c r="G4" s="1">
        <f>(D4-C4)/SQRT(C4*(1-C4)/F4)</f>
        <v>19.48540282251324</v>
      </c>
      <c r="H4" s="1">
        <f>2*(1-_xlfn.NORM.S.DIST(ABS(G4),TRUE))</f>
        <v>0</v>
      </c>
      <c r="I4" s="1">
        <f>(D4 + 1.96^2/(2*F4) - 1.96*SQRT(D4*(1-D4)/F4 + 1.96^2/(4*F4^2)))/(1 + 1.96^2/F4)</f>
        <v>5.0349865593530448E-2</v>
      </c>
      <c r="J4" s="1">
        <f>(D4 + 1.96^2/(2*F4) + 1.96*SQRT(D4*(1-D4)/F4 + 1.96^2/(4*F4^2)))/(1 + 1.96^2/F4)</f>
        <v>0.12722304306355511</v>
      </c>
      <c r="K4" s="1" t="str">
        <f>IF(H4&lt;0.05,"Yes","No")</f>
        <v>Yes</v>
      </c>
      <c r="L4" s="1">
        <f>(Params!$B$2*Params!$C$2)/(1+(Params!$C$2-1)*Params!$A$2)</f>
        <v>76.153846153846146</v>
      </c>
      <c r="M4" s="1">
        <f>(D4-C4)/SQRT(C4*(1-C4)/L4)</f>
        <v>12.084333837271213</v>
      </c>
      <c r="N4" s="1">
        <f>2*(1-_xlfn.NORM.S.DIST(ABS(M4),TRUE))</f>
        <v>0</v>
      </c>
      <c r="O4" s="1" t="str">
        <f>IF(N4&lt;0.05,"Yes","No")</f>
        <v>Yes</v>
      </c>
    </row>
    <row r="5" spans="1:15" x14ac:dyDescent="0.2">
      <c r="A5" t="s">
        <v>8</v>
      </c>
      <c r="B5" t="s">
        <v>14</v>
      </c>
      <c r="C5" s="1">
        <v>0.99053627760252361</v>
      </c>
      <c r="D5" s="1">
        <v>0.81818181818181823</v>
      </c>
      <c r="E5" s="1">
        <v>162</v>
      </c>
      <c r="F5" s="1">
        <v>198</v>
      </c>
      <c r="G5" s="1">
        <f>(D5-C5)/SQRT(C5*(1-C5)/F5)</f>
        <v>-25.048915665708758</v>
      </c>
      <c r="H5" s="1">
        <f>2*(1-_xlfn.NORM.S.DIST(ABS(G5),TRUE))</f>
        <v>0</v>
      </c>
      <c r="I5" s="1">
        <f>(D5 + 1.96^2/(2*F5) - 1.96*SQRT(D5*(1-D5)/F5 + 1.96^2/(4*F5^2)))/(1 + 1.96^2/F5)</f>
        <v>0.75857231450085494</v>
      </c>
      <c r="J5" s="1">
        <f>(D5 + 1.96^2/(2*F5) + 1.96*SQRT(D5*(1-D5)/F5 + 1.96^2/(4*F5^2)))/(1 + 1.96^2/F5)</f>
        <v>0.86567957410882723</v>
      </c>
      <c r="K5" s="1" t="str">
        <f>IF(H5&lt;0.05,"Yes","No")</f>
        <v>Yes</v>
      </c>
      <c r="L5" s="1">
        <f>(Params!$B$2*Params!$C$2)/(1+(Params!$C$2-1)*Params!$A$2)</f>
        <v>76.153846153846146</v>
      </c>
      <c r="M5" s="1">
        <f>(D5-C5)/SQRT(C5*(1-C5)/L5)</f>
        <v>-15.534678031718258</v>
      </c>
      <c r="N5" s="1">
        <f>2*(1-_xlfn.NORM.S.DIST(ABS(M5),TRUE))</f>
        <v>0</v>
      </c>
      <c r="O5" s="1" t="str">
        <f>IF(N5&lt;0.05,"Yes","No")</f>
        <v>Yes</v>
      </c>
    </row>
    <row r="6" spans="1:15" x14ac:dyDescent="0.2">
      <c r="A6" t="s">
        <v>9</v>
      </c>
      <c r="B6" t="s">
        <v>13</v>
      </c>
      <c r="C6" s="1">
        <v>2.4390243902439029E-2</v>
      </c>
      <c r="D6" s="1">
        <v>0.10101010101010099</v>
      </c>
      <c r="E6" s="1">
        <v>20</v>
      </c>
      <c r="F6" s="1">
        <v>198</v>
      </c>
      <c r="G6" s="1">
        <f>(D6-C6)/SQRT(C6*(1-C6)/F6)</f>
        <v>6.9892052408689409</v>
      </c>
      <c r="H6" s="1">
        <f>2*(1-_xlfn.NORM.S.DIST(ABS(G6),TRUE))</f>
        <v>2.7644553313166398E-12</v>
      </c>
      <c r="I6" s="1">
        <f>(D6 + 1.96^2/(2*F6) - 1.96*SQRT(D6*(1-D6)/F6 + 1.96^2/(4*F6^2)))/(1 + 1.96^2/F6)</f>
        <v>6.6343180993224032E-2</v>
      </c>
      <c r="J6" s="1">
        <f>(D6 + 1.96^2/(2*F6) + 1.96*SQRT(D6*(1-D6)/F6 + 1.96^2/(4*F6^2)))/(1 + 1.96^2/F6)</f>
        <v>0.15086476821050795</v>
      </c>
      <c r="K6" s="1" t="str">
        <f>IF(H6&lt;0.05,"Yes","No")</f>
        <v>Yes</v>
      </c>
      <c r="L6" s="1">
        <f>(Params!$B$2*Params!$C$2)/(1+(Params!$C$2-1)*Params!$A$2)</f>
        <v>76.153846153846146</v>
      </c>
      <c r="M6" s="1">
        <f>(D6-C6)/SQRT(C6*(1-C6)/L6)</f>
        <v>4.3345210852034191</v>
      </c>
      <c r="N6" s="1">
        <f>2*(1-_xlfn.NORM.S.DIST(ABS(M6),TRUE))</f>
        <v>1.460777873951713E-5</v>
      </c>
      <c r="O6" s="1" t="str">
        <f>IF(N6&lt;0.05,"Yes","No")</f>
        <v>Yes</v>
      </c>
    </row>
    <row r="7" spans="1:15" x14ac:dyDescent="0.2">
      <c r="A7" t="s">
        <v>9</v>
      </c>
      <c r="B7" t="s">
        <v>14</v>
      </c>
      <c r="C7" s="1">
        <v>0.63414634146341464</v>
      </c>
      <c r="D7" s="1">
        <v>0.63636363636363635</v>
      </c>
      <c r="E7" s="1">
        <v>126</v>
      </c>
      <c r="F7" s="1">
        <v>198</v>
      </c>
      <c r="G7" s="1">
        <f>(D7-C7)/SQRT(C7*(1-C7)/F7)</f>
        <v>6.4775027563129042E-2</v>
      </c>
      <c r="H7" s="1">
        <f>2*(1-_xlfn.NORM.S.DIST(ABS(G7),TRUE))</f>
        <v>0.94835312480061074</v>
      </c>
      <c r="I7" s="1">
        <f>(D7 + 1.96^2/(2*F7) - 1.96*SQRT(D7*(1-D7)/F7 + 1.96^2/(4*F7^2)))/(1 + 1.96^2/F7)</f>
        <v>0.56735284285640797</v>
      </c>
      <c r="J7" s="1">
        <f>(D7 + 1.96^2/(2*F7) + 1.96*SQRT(D7*(1-D7)/F7 + 1.96^2/(4*F7^2)))/(1 + 1.96^2/F7)</f>
        <v>0.70018368083345572</v>
      </c>
      <c r="K7" s="1" t="str">
        <f>IF(H7&lt;0.05,"Yes","No")</f>
        <v>No</v>
      </c>
      <c r="L7" s="1">
        <f>(Params!$B$2*Params!$C$2)/(1+(Params!$C$2-1)*Params!$A$2)</f>
        <v>76.153846153846146</v>
      </c>
      <c r="M7" s="1">
        <f>(D7-C7)/SQRT(C7*(1-C7)/L7)</f>
        <v>4.0171766759006862E-2</v>
      </c>
      <c r="N7" s="1">
        <f>2*(1-_xlfn.NORM.S.DIST(ABS(M7),TRUE))</f>
        <v>0.96795618631656799</v>
      </c>
      <c r="O7" s="1" t="str">
        <f>IF(N7&lt;0.05,"Yes","No")</f>
        <v>No</v>
      </c>
    </row>
    <row r="8" spans="1:15" x14ac:dyDescent="0.2">
      <c r="A8" t="s">
        <v>10</v>
      </c>
      <c r="B8" t="s">
        <v>13</v>
      </c>
      <c r="C8" s="1">
        <f>1-0.000001</f>
        <v>0.99999899999999997</v>
      </c>
      <c r="D8" s="1">
        <v>0.61616161616161613</v>
      </c>
      <c r="E8" s="1">
        <v>122</v>
      </c>
      <c r="F8" s="1">
        <v>198</v>
      </c>
      <c r="G8" s="1">
        <f>(D8-C8)/SQRT(C8*(1-C8)/F8)</f>
        <v>-5401.0734435545928</v>
      </c>
      <c r="H8" s="1">
        <f>2*(1-_xlfn.NORM.S.DIST(ABS(G8),TRUE))</f>
        <v>0</v>
      </c>
      <c r="I8" s="1">
        <f>(D8 + 1.96^2/(2*F8) - 1.96*SQRT(D8*(1-D8)/F8 + 1.96^2/(4*F8^2)))/(1 + 1.96^2/F8)</f>
        <v>0.5468220903221479</v>
      </c>
      <c r="J8" s="1">
        <f>(D8 + 1.96^2/(2*F8) + 1.96*SQRT(D8*(1-D8)/F8 + 1.96^2/(4*F8^2)))/(1 + 1.96^2/F8)</f>
        <v>0.68107939282106933</v>
      </c>
      <c r="K8" s="1" t="str">
        <f>IF(H8&lt;0.05,"Yes","No")</f>
        <v>Yes</v>
      </c>
      <c r="L8" s="1">
        <f>(Params!$B$2*Params!$C$2)/(1+(Params!$C$2-1)*Params!$A$2)</f>
        <v>76.153846153846146</v>
      </c>
      <c r="M8" s="1">
        <f>(D8-C8)/SQRT(C8*(1-C8)/L8)</f>
        <v>-3349.60355534058</v>
      </c>
      <c r="N8" s="1">
        <f>2*(1-_xlfn.NORM.S.DIST(ABS(M8),TRUE))</f>
        <v>0</v>
      </c>
      <c r="O8" s="1" t="str">
        <f>IF(N8&lt;0.05,"Yes","No")</f>
        <v>Yes</v>
      </c>
    </row>
    <row r="9" spans="1:15" x14ac:dyDescent="0.2">
      <c r="A9" t="s">
        <v>10</v>
      </c>
      <c r="B9" t="s">
        <v>14</v>
      </c>
      <c r="C9" s="1">
        <v>9.9999999999999995E-7</v>
      </c>
      <c r="D9" s="1">
        <v>0.37878787878787878</v>
      </c>
      <c r="E9" s="1">
        <v>75</v>
      </c>
      <c r="F9" s="1">
        <v>198</v>
      </c>
      <c r="G9" s="1">
        <f>(D9-C9)/SQRT(C9*(1-C9)/F9)</f>
        <v>5330.0065026468992</v>
      </c>
      <c r="H9" s="1">
        <f>2*(1-_xlfn.NORM.S.DIST(ABS(G9),TRUE))</f>
        <v>0</v>
      </c>
      <c r="I9" s="1">
        <f>(D9 + 1.96^2/(2*F9) - 1.96*SQRT(D9*(1-D9)/F9 + 1.96^2/(4*F9^2)))/(1 + 1.96^2/F9)</f>
        <v>0.31413315382379026</v>
      </c>
      <c r="J9" s="1">
        <f>(D9 + 1.96^2/(2*F9) + 1.96*SQRT(D9*(1-D9)/F9 + 1.96^2/(4*F9^2)))/(1 + 1.96^2/F9)</f>
        <v>0.44805660289633087</v>
      </c>
      <c r="K9" s="1" t="str">
        <f>IF(H9&lt;0.05,"Yes","No")</f>
        <v>Yes</v>
      </c>
      <c r="L9" s="1">
        <f>(Params!$B$2*Params!$C$2)/(1+(Params!$C$2-1)*Params!$A$2)</f>
        <v>76.153846153846146</v>
      </c>
      <c r="M9" s="1">
        <f>(D9-C9)/SQRT(C9*(1-C9)/L9)</f>
        <v>3305.529709572817</v>
      </c>
      <c r="N9" s="1">
        <f>2*(1-_xlfn.NORM.S.DIST(ABS(M9),TRUE))</f>
        <v>0</v>
      </c>
      <c r="O9" s="1" t="str">
        <f>IF(N9&lt;0.05,"Yes","No")</f>
        <v>Yes</v>
      </c>
    </row>
    <row r="10" spans="1:15" x14ac:dyDescent="0.2">
      <c r="A10" t="s">
        <v>11</v>
      </c>
      <c r="B10" t="s">
        <v>13</v>
      </c>
      <c r="C10" s="1">
        <v>0.69426751592356684</v>
      </c>
      <c r="D10" s="1">
        <v>0.43434343434343442</v>
      </c>
      <c r="E10" s="1">
        <v>86</v>
      </c>
      <c r="F10" s="1">
        <v>198</v>
      </c>
      <c r="G10" s="1">
        <f>(D10-C10)/SQRT(C10*(1-C10)/F10)</f>
        <v>-7.9386178801691836</v>
      </c>
      <c r="H10" s="1">
        <f>2*(1-_xlfn.NORM.S.DIST(ABS(G10),TRUE))</f>
        <v>1.9984014443252818E-15</v>
      </c>
      <c r="I10" s="1">
        <f>(D10 + 1.96^2/(2*F10) - 1.96*SQRT(D10*(1-D10)/F10 + 1.96^2/(4*F10^2)))/(1 + 1.96^2/F10)</f>
        <v>0.36719933053193354</v>
      </c>
      <c r="J10" s="1">
        <f>(D10 + 1.96^2/(2*F10) + 1.96*SQRT(D10*(1-D10)/F10 + 1.96^2/(4*F10^2)))/(1 + 1.96^2/F10)</f>
        <v>0.50398678769146554</v>
      </c>
      <c r="K10" s="1" t="str">
        <f>IF(H10&lt;0.05,"Yes","No")</f>
        <v>Yes</v>
      </c>
      <c r="L10" s="1">
        <f>(Params!$B$2*Params!$C$2)/(1+(Params!$C$2-1)*Params!$A$2)</f>
        <v>76.153846153846146</v>
      </c>
      <c r="M10" s="1">
        <f>(D10-C10)/SQRT(C10*(1-C10)/L10)</f>
        <v>-4.9233218088596464</v>
      </c>
      <c r="N10" s="1">
        <f>2*(1-_xlfn.NORM.S.DIST(ABS(M10),TRUE))</f>
        <v>8.5087355583546298E-7</v>
      </c>
      <c r="O10" s="1" t="str">
        <f>IF(N10&lt;0.05,"Yes","No")</f>
        <v>Yes</v>
      </c>
    </row>
    <row r="11" spans="1:15" x14ac:dyDescent="0.2">
      <c r="A11" t="s">
        <v>11</v>
      </c>
      <c r="B11" t="s">
        <v>14</v>
      </c>
      <c r="C11" s="1">
        <v>0.22292993630573249</v>
      </c>
      <c r="D11" s="1">
        <v>0.47979797979797978</v>
      </c>
      <c r="E11" s="1">
        <v>95</v>
      </c>
      <c r="F11" s="1">
        <v>198</v>
      </c>
      <c r="G11" s="1">
        <f>(D11-C11)/SQRT(C11*(1-C11)/F11)</f>
        <v>8.6841714253670279</v>
      </c>
      <c r="H11" s="1">
        <f>2*(1-_xlfn.NORM.S.DIST(ABS(G11),TRUE))</f>
        <v>0</v>
      </c>
      <c r="I11" s="1">
        <f>(D11 + 1.96^2/(2*F11) - 1.96*SQRT(D11*(1-D11)/F11 + 1.96^2/(4*F11^2)))/(1 + 1.96^2/F11)</f>
        <v>0.41125812421650265</v>
      </c>
      <c r="J11" s="1">
        <f>(D11 + 1.96^2/(2*F11) + 1.96*SQRT(D11*(1-D11)/F11 + 1.96^2/(4*F11^2)))/(1 + 1.96^2/F11)</f>
        <v>0.54910683523685089</v>
      </c>
      <c r="K11" s="1" t="str">
        <f>IF(H11&lt;0.05,"Yes","No")</f>
        <v>Yes</v>
      </c>
      <c r="L11" s="1">
        <f>(Params!$B$2*Params!$C$2)/(1+(Params!$C$2-1)*Params!$A$2)</f>
        <v>76.153846153846146</v>
      </c>
      <c r="M11" s="1">
        <f>(D11-C11)/SQRT(C11*(1-C11)/L11)</f>
        <v>5.3856944893629368</v>
      </c>
      <c r="N11" s="1">
        <f>2*(1-_xlfn.NORM.S.DIST(ABS(M11),TRUE))</f>
        <v>7.2165452280614772E-8</v>
      </c>
      <c r="O11" s="1" t="str">
        <f>IF(N11&lt;0.05,"Yes","No")</f>
        <v>Yes</v>
      </c>
    </row>
    <row r="12" spans="1:15" x14ac:dyDescent="0.2">
      <c r="A12" t="s">
        <v>12</v>
      </c>
      <c r="B12" t="s">
        <v>13</v>
      </c>
      <c r="C12" s="1">
        <v>0.52333333333333332</v>
      </c>
      <c r="D12" s="1">
        <v>0.43939393939393939</v>
      </c>
      <c r="E12" s="1">
        <v>87</v>
      </c>
      <c r="F12" s="1">
        <v>198</v>
      </c>
      <c r="G12" s="1">
        <f>(D12-C12)/SQRT(C12*(1-C12)/F12)</f>
        <v>-2.3648403891433771</v>
      </c>
      <c r="H12" s="1">
        <f>2*(1-_xlfn.NORM.S.DIST(ABS(G12),TRUE))</f>
        <v>1.8037842900365364E-2</v>
      </c>
      <c r="I12" s="1">
        <f>(D12 + 1.96^2/(2*F12) - 1.96*SQRT(D12*(1-D12)/F12 + 1.96^2/(4*F12^2)))/(1 + 1.96^2/F12)</f>
        <v>0.37206672582629458</v>
      </c>
      <c r="J12" s="1">
        <f>(D12 + 1.96^2/(2*F12) + 1.96*SQRT(D12*(1-D12)/F12 + 1.96^2/(4*F12^2)))/(1 + 1.96^2/F12)</f>
        <v>0.50902815253376599</v>
      </c>
      <c r="K12" s="1" t="str">
        <f>IF(H12&lt;0.05,"Yes","No")</f>
        <v>Yes</v>
      </c>
      <c r="L12" s="1">
        <f>(Params!$B$2*Params!$C$2)/(1+(Params!$C$2-1)*Params!$A$2)</f>
        <v>76.153846153846146</v>
      </c>
      <c r="M12" s="1">
        <f>(D12-C12)/SQRT(C12*(1-C12)/L12)</f>
        <v>-1.4666117500661959</v>
      </c>
      <c r="N12" s="1">
        <f>2*(1-_xlfn.NORM.S.DIST(ABS(M12),TRUE))</f>
        <v>0.14248170180453923</v>
      </c>
      <c r="O12" s="1" t="str">
        <f>IF(N12&lt;0.05,"Yes","No")</f>
        <v>No</v>
      </c>
    </row>
    <row r="13" spans="1:15" x14ac:dyDescent="0.2">
      <c r="A13" t="s">
        <v>12</v>
      </c>
      <c r="B13" t="s">
        <v>14</v>
      </c>
      <c r="C13" s="1">
        <v>0.1166666666666667</v>
      </c>
      <c r="D13" s="1">
        <v>0.37373737373737381</v>
      </c>
      <c r="E13" s="1">
        <v>74</v>
      </c>
      <c r="F13" s="1">
        <v>198</v>
      </c>
      <c r="G13" s="1">
        <f>(D13-C13)/SQRT(C13*(1-C13)/F13)</f>
        <v>11.268068612339434</v>
      </c>
      <c r="H13" s="1">
        <f>2*(1-_xlfn.NORM.S.DIST(ABS(G13),TRUE))</f>
        <v>0</v>
      </c>
      <c r="I13" s="1">
        <f>(D13 + 1.96^2/(2*F13) - 1.96*SQRT(D13*(1-D13)/F13 + 1.96^2/(4*F13^2)))/(1 + 1.96^2/F13)</f>
        <v>0.30935324795321489</v>
      </c>
      <c r="J13" s="1">
        <f>(D13 + 1.96^2/(2*F13) + 1.96*SQRT(D13*(1-D13)/F13 + 1.96^2/(4*F13^2)))/(1 + 1.96^2/F13)</f>
        <v>0.44292774863024476</v>
      </c>
      <c r="K13" s="1" t="str">
        <f>IF(H13&lt;0.05,"Yes","No")</f>
        <v>Yes</v>
      </c>
      <c r="L13" s="1">
        <f>(Params!$B$2*Params!$C$2)/(1+(Params!$C$2-1)*Params!$A$2)</f>
        <v>76.153846153846146</v>
      </c>
      <c r="M13" s="1">
        <f>(D13-C13)/SQRT(C13*(1-C13)/L13)</f>
        <v>6.9881594983225606</v>
      </c>
      <c r="N13" s="1">
        <f>2*(1-_xlfn.NORM.S.DIST(ABS(M13),TRUE))</f>
        <v>2.7851054795746677E-12</v>
      </c>
      <c r="O13" s="1" t="str">
        <f>IF(N13&lt;0.05,"Yes","No")</f>
        <v>Yes</v>
      </c>
    </row>
    <row r="14" spans="1:15" x14ac:dyDescent="0.2">
      <c r="A14" t="s">
        <v>7</v>
      </c>
      <c r="B14" t="s">
        <v>13</v>
      </c>
      <c r="C14" s="1">
        <v>0.58415841584158412</v>
      </c>
      <c r="D14" s="1">
        <v>0.20304568527918779</v>
      </c>
      <c r="E14" s="1">
        <v>40</v>
      </c>
      <c r="F14" s="1">
        <v>197</v>
      </c>
      <c r="G14" s="1">
        <f>(D14-C14)/SQRT(C14*(1-C14)/F14)</f>
        <v>-10.853187148287574</v>
      </c>
      <c r="H14" s="1">
        <f>2*(1-_xlfn.NORM.S.DIST(ABS(G14),TRUE))</f>
        <v>0</v>
      </c>
      <c r="I14" s="1">
        <f>(D14 + 1.96^2/(2*F14) - 1.96*SQRT(D14*(1-D14)/F14 + 1.96^2/(4*F14^2)))/(1 + 1.96^2/F14)</f>
        <v>0.15280215782444581</v>
      </c>
      <c r="J14" s="1">
        <f>(D14 + 1.96^2/(2*F14) + 1.96*SQRT(D14*(1-D14)/F14 + 1.96^2/(4*F14^2)))/(1 + 1.96^2/F14)</f>
        <v>0.26464920683307525</v>
      </c>
      <c r="K14" s="1" t="str">
        <f>IF(H14&lt;0.05,"Yes","No")</f>
        <v>Yes</v>
      </c>
      <c r="L14" s="1">
        <f>(Params!$B$2*Params!$C$2)/(1+(Params!$C$2-1)*Params!$A$2)</f>
        <v>76.153846153846146</v>
      </c>
      <c r="M14" s="1">
        <f>(D14-C14)/SQRT(C14*(1-C14)/L14)</f>
        <v>-6.7479227157215895</v>
      </c>
      <c r="N14" s="1">
        <f>2*(1-_xlfn.NORM.S.DIST(ABS(M14),TRUE))</f>
        <v>1.4997780795056315E-11</v>
      </c>
      <c r="O14" s="1" t="str">
        <f>IF(N14&lt;0.05,"Yes","No")</f>
        <v>Yes</v>
      </c>
    </row>
    <row r="15" spans="1:15" x14ac:dyDescent="0.2">
      <c r="A15" t="s">
        <v>7</v>
      </c>
      <c r="B15" t="s">
        <v>14</v>
      </c>
      <c r="C15" s="1">
        <v>0.1633663366336634</v>
      </c>
      <c r="D15" s="1">
        <v>0.63451776649746194</v>
      </c>
      <c r="E15" s="1">
        <v>125</v>
      </c>
      <c r="F15" s="1">
        <v>197</v>
      </c>
      <c r="G15" s="1">
        <f>(D15-C15)/SQRT(C15*(1-C15)/F15)</f>
        <v>17.887295174927072</v>
      </c>
      <c r="H15" s="1">
        <f>2*(1-_xlfn.NORM.S.DIST(ABS(G15),TRUE))</f>
        <v>0</v>
      </c>
      <c r="I15" s="1">
        <f>(D15 + 1.96^2/(2*F15) - 1.96*SQRT(D15*(1-D15)/F15 + 1.96^2/(4*F15^2)))/(1 + 1.96^2/F15)</f>
        <v>0.56529355544374638</v>
      </c>
      <c r="J15" s="1">
        <f>(D15 + 1.96^2/(2*F15) + 1.96*SQRT(D15*(1-D15)/F15 + 1.96^2/(4*F15^2)))/(1 + 1.96^2/F15)</f>
        <v>0.6985959973182313</v>
      </c>
      <c r="K15" s="1" t="str">
        <f>IF(H15&lt;0.05,"Yes","No")</f>
        <v>Yes</v>
      </c>
      <c r="L15" s="1">
        <f>(Params!$B$2*Params!$C$2)/(1+(Params!$C$2-1)*Params!$A$2)</f>
        <v>76.153846153846146</v>
      </c>
      <c r="M15" s="1">
        <f>(D15-C15)/SQRT(C15*(1-C15)/L15)</f>
        <v>11.121349312837756</v>
      </c>
      <c r="N15" s="1">
        <f>2*(1-_xlfn.NORM.S.DIST(ABS(M15),TRUE))</f>
        <v>0</v>
      </c>
      <c r="O15" s="1" t="str">
        <f>IF(N15&lt;0.05,"Yes","No")</f>
        <v>Yes</v>
      </c>
    </row>
    <row r="16" spans="1:15" x14ac:dyDescent="0.2">
      <c r="A16" s="5" t="s">
        <v>6</v>
      </c>
      <c r="B16" s="5" t="s">
        <v>13</v>
      </c>
      <c r="C16" s="6">
        <v>0.16333938294010891</v>
      </c>
      <c r="D16" s="6">
        <v>0.2424242424242424</v>
      </c>
      <c r="E16" s="6">
        <v>48</v>
      </c>
      <c r="F16" s="6">
        <v>22</v>
      </c>
      <c r="G16" s="6">
        <f>(D16-C16)/SQRT(C16*(1-C16)/F16)</f>
        <v>1.0034241960407158</v>
      </c>
      <c r="H16" s="6">
        <f>2*(1-_xlfn.NORM.S.DIST(ABS(G16),TRUE))</f>
        <v>0.315656234599063</v>
      </c>
      <c r="I16" s="6">
        <f>(D16 + 1.96^2/(2*F16) - 1.96*SQRT(D16*(1-D16)/F16 + 1.96^2/(4*F16^2)))/(1 + 1.96^2/F16)</f>
        <v>0.1111033266266496</v>
      </c>
      <c r="J16" s="6">
        <f>(D16 + 1.96^2/(2*F16) + 1.96*SQRT(D16*(1-D16)/F16 + 1.96^2/(4*F16^2)))/(1 + 1.96^2/F16)</f>
        <v>0.45032733814126991</v>
      </c>
      <c r="K16" s="6" t="str">
        <f>IF(H16&lt;0.05,"Yes","No")</f>
        <v>No</v>
      </c>
      <c r="L16" s="6">
        <f>(Params!$B$2*Params!$C$2)/(1+(Params!$C$2-1)*Params!$A$2)</f>
        <v>76.153846153846146</v>
      </c>
      <c r="M16" s="6">
        <f>(D16-C16)/SQRT(C16*(1-C16)/L16)</f>
        <v>1.8668918075445011</v>
      </c>
      <c r="N16" s="6">
        <f>2*(1-_xlfn.NORM.S.DIST(ABS(M16),TRUE))</f>
        <v>6.1916698153853478E-2</v>
      </c>
      <c r="O16" s="6" t="str">
        <f>IF(N16&lt;0.05,"Yes","No")</f>
        <v>No</v>
      </c>
    </row>
    <row r="17" spans="1:15" x14ac:dyDescent="0.2">
      <c r="A17" t="s">
        <v>6</v>
      </c>
      <c r="B17" t="s">
        <v>14</v>
      </c>
      <c r="C17" s="1">
        <v>0.68784029038112526</v>
      </c>
      <c r="D17" s="1">
        <v>0.69696969696969702</v>
      </c>
      <c r="E17" s="1">
        <v>138</v>
      </c>
      <c r="F17" s="1">
        <v>22</v>
      </c>
      <c r="G17" s="1">
        <f>(D17-C17)/SQRT(C17*(1-C17)/F17)</f>
        <v>9.2410572361910234E-2</v>
      </c>
      <c r="H17" s="1">
        <f>2*(1-_xlfn.NORM.S.DIST(ABS(G17),TRUE))</f>
        <v>0.92637183984288329</v>
      </c>
      <c r="I17" s="1">
        <f>(D17 + 1.96^2/(2*F17) - 1.96*SQRT(D17*(1-D17)/F17 + 1.96^2/(4*F17^2)))/(1 + 1.96^2/F17)</f>
        <v>0.4880922554455997</v>
      </c>
      <c r="J17" s="1">
        <f>(D17 + 1.96^2/(2*F17) + 1.96*SQRT(D17*(1-D17)/F17 + 1.96^2/(4*F17^2)))/(1 + 1.96^2/F17)</f>
        <v>0.84728429502599145</v>
      </c>
      <c r="K17" s="1" t="str">
        <f>IF(H17&lt;0.05,"Yes","No")</f>
        <v>No</v>
      </c>
      <c r="L17" s="1">
        <f>(Params!$B$2*Params!$C$2)/(1+(Params!$C$2-1)*Params!$A$2)</f>
        <v>76.153846153846146</v>
      </c>
      <c r="M17" s="1">
        <f>(D17-C17)/SQRT(C17*(1-C17)/L17)</f>
        <v>0.17193181224219564</v>
      </c>
      <c r="N17" s="1">
        <f>2*(1-_xlfn.NORM.S.DIST(ABS(M17),TRUE))</f>
        <v>0.86349113642176611</v>
      </c>
      <c r="O17" s="1" t="str">
        <f>IF(N17&lt;0.05,"Yes","No")</f>
        <v>No</v>
      </c>
    </row>
    <row r="18" spans="1:15" x14ac:dyDescent="0.2">
      <c r="A18" t="s">
        <v>7</v>
      </c>
      <c r="B18" t="s">
        <v>13</v>
      </c>
      <c r="C18" s="1">
        <v>0.58415841584158412</v>
      </c>
      <c r="D18" s="1">
        <v>0.20304568527918779</v>
      </c>
      <c r="E18" s="1">
        <v>40</v>
      </c>
      <c r="F18" s="1">
        <v>22</v>
      </c>
      <c r="G18" s="1">
        <f>(D18-C18)/SQRT(C18*(1-C18)/F18)</f>
        <v>-3.6268994799830785</v>
      </c>
      <c r="H18" s="1">
        <f>2*(1-_xlfn.NORM.S.DIST(ABS(G18),TRUE))</f>
        <v>2.868448959525427E-4</v>
      </c>
      <c r="I18" s="1">
        <f>(D18 + 1.96^2/(2*F18) - 1.96*SQRT(D18*(1-D18)/F18 + 1.96^2/(4*F18^2)))/(1 + 1.96^2/F18)</f>
        <v>8.5931367075464046E-2</v>
      </c>
      <c r="J18" s="1">
        <f>(D18 + 1.96^2/(2*F18) + 1.96*SQRT(D18*(1-D18)/F18 + 1.96^2/(4*F18^2)))/(1 + 1.96^2/F18)</f>
        <v>0.40845017866025912</v>
      </c>
      <c r="K18" s="1" t="str">
        <f>IF(H18&lt;0.05,"Yes","No")</f>
        <v>Yes</v>
      </c>
      <c r="L18" s="1">
        <f>(Params!$B$2*Params!$C$2)/(1+(Params!$C$2-1)*Params!$A$2)</f>
        <v>76.153846153846146</v>
      </c>
      <c r="M18" s="1">
        <f>(D18-C18)/SQRT(C18*(1-C18)/L18)</f>
        <v>-6.7479227157215895</v>
      </c>
      <c r="N18" s="1">
        <f>2*(1-_xlfn.NORM.S.DIST(ABS(M18),TRUE))</f>
        <v>1.4997780795056315E-11</v>
      </c>
      <c r="O18" s="1" t="str">
        <f>IF(N18&lt;0.05,"Yes","No")</f>
        <v>Yes</v>
      </c>
    </row>
    <row r="19" spans="1:15" x14ac:dyDescent="0.2">
      <c r="A19" t="s">
        <v>7</v>
      </c>
      <c r="B19" t="s">
        <v>14</v>
      </c>
      <c r="C19" s="1">
        <v>0.1633663366336634</v>
      </c>
      <c r="D19" s="1">
        <v>0.63451776649746194</v>
      </c>
      <c r="E19" s="1">
        <v>125</v>
      </c>
      <c r="F19" s="1">
        <v>22</v>
      </c>
      <c r="G19" s="1">
        <f>(D19-C19)/SQRT(C19*(1-C19)/F19)</f>
        <v>5.9775456445973969</v>
      </c>
      <c r="H19" s="1">
        <f>2*(1-_xlfn.NORM.S.DIST(ABS(G19),TRUE))</f>
        <v>2.2652446585169628E-9</v>
      </c>
      <c r="I19" s="1">
        <f>(D19 + 1.96^2/(2*F19) - 1.96*SQRT(D19*(1-D19)/F19 + 1.96^2/(4*F19^2)))/(1 + 1.96^2/F19)</f>
        <v>0.42777252267605564</v>
      </c>
      <c r="J19" s="1">
        <f>(D19 + 1.96^2/(2*F19) + 1.96*SQRT(D19*(1-D19)/F19 + 1.96^2/(4*F19^2)))/(1 + 1.96^2/F19)</f>
        <v>0.80126831558041167</v>
      </c>
      <c r="K19" s="1" t="str">
        <f>IF(H19&lt;0.05,"Yes","No")</f>
        <v>Yes</v>
      </c>
      <c r="L19" s="1">
        <f>(Params!$B$2*Params!$C$2)/(1+(Params!$C$2-1)*Params!$A$2)</f>
        <v>76.153846153846146</v>
      </c>
      <c r="M19" s="1">
        <f>(D19-C19)/SQRT(C19*(1-C19)/L19)</f>
        <v>11.121349312837756</v>
      </c>
      <c r="N19" s="1">
        <f>2*(1-_xlfn.NORM.S.DIST(ABS(M19),TRUE))</f>
        <v>0</v>
      </c>
      <c r="O19" s="1" t="str">
        <f>IF(N19&lt;0.05,"Yes","No")</f>
        <v>Yes</v>
      </c>
    </row>
    <row r="20" spans="1:15" x14ac:dyDescent="0.2">
      <c r="A20" t="s">
        <v>8</v>
      </c>
      <c r="B20" t="s">
        <v>13</v>
      </c>
      <c r="C20" s="1">
        <v>3.154574132492113E-3</v>
      </c>
      <c r="D20" s="1">
        <v>8.0808080808080815E-2</v>
      </c>
      <c r="E20" s="1">
        <v>16</v>
      </c>
      <c r="F20" s="1">
        <v>22</v>
      </c>
      <c r="G20" s="1">
        <f>(D20-C20)/SQRT(C20*(1-C20)/F20)</f>
        <v>6.4951342741710789</v>
      </c>
      <c r="H20" s="1">
        <f>2*(1-_xlfn.NORM.S.DIST(ABS(G20),TRUE))</f>
        <v>8.2959417113670497E-11</v>
      </c>
      <c r="I20" s="1">
        <f>(D20 + 1.96^2/(2*F20) - 1.96*SQRT(D20*(1-D20)/F20 + 1.96^2/(4*F20^2)))/(1 + 1.96^2/F20)</f>
        <v>2.0954805668528032E-2</v>
      </c>
      <c r="J20" s="1">
        <f>(D20 + 1.96^2/(2*F20) + 1.96*SQRT(D20*(1-D20)/F20 + 1.96^2/(4*F20^2)))/(1 + 1.96^2/F20)</f>
        <v>0.26529509973808596</v>
      </c>
      <c r="K20" s="1" t="str">
        <f>IF(H20&lt;0.05,"Yes","No")</f>
        <v>Yes</v>
      </c>
      <c r="L20" s="1">
        <f>(Params!$B$2*Params!$C$2)/(1+(Params!$C$2-1)*Params!$A$2)</f>
        <v>76.153846153846146</v>
      </c>
      <c r="M20" s="1">
        <f>(D20-C20)/SQRT(C20*(1-C20)/L20)</f>
        <v>12.084333837271213</v>
      </c>
      <c r="N20" s="1">
        <f>2*(1-_xlfn.NORM.S.DIST(ABS(M20),TRUE))</f>
        <v>0</v>
      </c>
      <c r="O20" s="1" t="str">
        <f>IF(N20&lt;0.05,"Yes","No")</f>
        <v>Yes</v>
      </c>
    </row>
    <row r="21" spans="1:15" x14ac:dyDescent="0.2">
      <c r="A21" t="s">
        <v>8</v>
      </c>
      <c r="B21" t="s">
        <v>14</v>
      </c>
      <c r="C21" s="1">
        <v>0.99053627760252361</v>
      </c>
      <c r="D21" s="1">
        <v>0.81818181818181823</v>
      </c>
      <c r="E21" s="1">
        <v>162</v>
      </c>
      <c r="F21" s="1">
        <v>22</v>
      </c>
      <c r="G21" s="1">
        <f>(D21-C21)/SQRT(C21*(1-C21)/F21)</f>
        <v>-8.3496385552362522</v>
      </c>
      <c r="H21" s="1">
        <f>2*(1-_xlfn.NORM.S.DIST(ABS(G21),TRUE))</f>
        <v>0</v>
      </c>
      <c r="I21" s="1">
        <f>(D21 + 1.96^2/(2*F21) - 1.96*SQRT(D21*(1-D21)/F21 + 1.96^2/(4*F21^2)))/(1 + 1.96^2/F21)</f>
        <v>0.61482978023362145</v>
      </c>
      <c r="J21" s="1">
        <f>(D21 + 1.96^2/(2*F21) + 1.96*SQRT(D21*(1-D21)/F21 + 1.96^2/(4*F21^2)))/(1 + 1.96^2/F21)</f>
        <v>0.92693233975894884</v>
      </c>
      <c r="K21" s="1" t="str">
        <f>IF(H21&lt;0.05,"Yes","No")</f>
        <v>Yes</v>
      </c>
      <c r="L21" s="1">
        <f>(Params!$B$2*Params!$C$2)/(1+(Params!$C$2-1)*Params!$A$2)</f>
        <v>76.153846153846146</v>
      </c>
      <c r="M21" s="1">
        <f>(D21-C21)/SQRT(C21*(1-C21)/L21)</f>
        <v>-15.534678031718258</v>
      </c>
      <c r="N21" s="1">
        <f>2*(1-_xlfn.NORM.S.DIST(ABS(M21),TRUE))</f>
        <v>0</v>
      </c>
      <c r="O21" s="1" t="str">
        <f>IF(N21&lt;0.05,"Yes","No")</f>
        <v>Yes</v>
      </c>
    </row>
    <row r="22" spans="1:15" x14ac:dyDescent="0.2">
      <c r="A22" t="s">
        <v>9</v>
      </c>
      <c r="B22" t="s">
        <v>13</v>
      </c>
      <c r="C22" s="1">
        <v>2.4390243902439029E-2</v>
      </c>
      <c r="D22" s="1">
        <v>0.10101010101010099</v>
      </c>
      <c r="E22" s="1">
        <v>20</v>
      </c>
      <c r="F22" s="1">
        <v>22</v>
      </c>
      <c r="G22" s="1">
        <f>(D22-C22)/SQRT(C22*(1-C22)/F22)</f>
        <v>2.3297350802896473</v>
      </c>
      <c r="H22" s="1">
        <f>2*(1-_xlfn.NORM.S.DIST(ABS(G22),TRUE))</f>
        <v>1.9820157234215152E-2</v>
      </c>
      <c r="I22" s="1">
        <f>(D22 + 1.96^2/(2*F22) - 1.96*SQRT(D22*(1-D22)/F22 + 1.96^2/(4*F22^2)))/(1 + 1.96^2/F22)</f>
        <v>2.9872826353025746E-2</v>
      </c>
      <c r="J22" s="1">
        <f>(D22 + 1.96^2/(2*F22) + 1.96*SQRT(D22*(1-D22)/F22 + 1.96^2/(4*F22^2)))/(1 + 1.96^2/F22)</f>
        <v>0.2907746739737514</v>
      </c>
      <c r="K22" s="1" t="str">
        <f>IF(H22&lt;0.05,"Yes","No")</f>
        <v>Yes</v>
      </c>
      <c r="L22" s="1">
        <f>(Params!$B$2*Params!$C$2)/(1+(Params!$C$2-1)*Params!$A$2)</f>
        <v>76.153846153846146</v>
      </c>
      <c r="M22" s="1">
        <f>(D22-C22)/SQRT(C22*(1-C22)/L22)</f>
        <v>4.3345210852034191</v>
      </c>
      <c r="N22" s="1">
        <f>2*(1-_xlfn.NORM.S.DIST(ABS(M22),TRUE))</f>
        <v>1.460777873951713E-5</v>
      </c>
      <c r="O22" s="1" t="str">
        <f>IF(N22&lt;0.05,"Yes","No")</f>
        <v>Yes</v>
      </c>
    </row>
    <row r="23" spans="1:15" x14ac:dyDescent="0.2">
      <c r="A23" t="s">
        <v>9</v>
      </c>
      <c r="B23" t="s">
        <v>14</v>
      </c>
      <c r="C23" s="1">
        <v>0.63414634146341464</v>
      </c>
      <c r="D23" s="1">
        <v>0.63636363636363635</v>
      </c>
      <c r="E23" s="1">
        <v>126</v>
      </c>
      <c r="F23" s="1">
        <v>22</v>
      </c>
      <c r="G23" s="1">
        <f>(D23-C23)/SQRT(C23*(1-C23)/F23)</f>
        <v>2.1591675854376349E-2</v>
      </c>
      <c r="H23" s="1">
        <f>2*(1-_xlfn.NORM.S.DIST(ABS(G23),TRUE))</f>
        <v>0.98277367369122448</v>
      </c>
      <c r="I23" s="1">
        <f>(D23 + 1.96^2/(2*F23) - 1.96*SQRT(D23*(1-D23)/F23 + 1.96^2/(4*F23^2)))/(1 + 1.96^2/F23)</f>
        <v>0.42951349343718043</v>
      </c>
      <c r="J23" s="1">
        <f>(D23 + 1.96^2/(2*F23) + 1.96*SQRT(D23*(1-D23)/F23 + 1.96^2/(4*F23^2)))/(1 + 1.96^2/F23)</f>
        <v>0.80267027227392107</v>
      </c>
      <c r="K23" s="1" t="str">
        <f>IF(H23&lt;0.05,"Yes","No")</f>
        <v>No</v>
      </c>
      <c r="L23" s="1">
        <f>(Params!$B$2*Params!$C$2)/(1+(Params!$C$2-1)*Params!$A$2)</f>
        <v>76.153846153846146</v>
      </c>
      <c r="M23" s="1">
        <f>(D23-C23)/SQRT(C23*(1-C23)/L23)</f>
        <v>4.0171766759006862E-2</v>
      </c>
      <c r="N23" s="1">
        <f>2*(1-_xlfn.NORM.S.DIST(ABS(M23),TRUE))</f>
        <v>0.96795618631656799</v>
      </c>
      <c r="O23" s="1" t="str">
        <f>IF(N23&lt;0.05,"Yes","No")</f>
        <v>No</v>
      </c>
    </row>
    <row r="24" spans="1:15" x14ac:dyDescent="0.2">
      <c r="A24" t="s">
        <v>10</v>
      </c>
      <c r="B24" t="s">
        <v>13</v>
      </c>
      <c r="C24" s="1">
        <f>1-0.000001</f>
        <v>0.99999899999999997</v>
      </c>
      <c r="D24" s="1">
        <v>0.61616161616161613</v>
      </c>
      <c r="E24" s="1">
        <v>122</v>
      </c>
      <c r="F24" s="1">
        <v>22</v>
      </c>
      <c r="G24" s="1">
        <f>(D24-C24)/SQRT(C24*(1-C24)/F24)</f>
        <v>-1800.3578145181975</v>
      </c>
      <c r="H24" s="1">
        <f>2*(1-_xlfn.NORM.S.DIST(ABS(G24),TRUE))</f>
        <v>0</v>
      </c>
      <c r="I24" s="1">
        <f>(D24 + 1.96^2/(2*F24) - 1.96*SQRT(D24*(1-D24)/F24 + 1.96^2/(4*F24^2)))/(1 + 1.96^2/F24)</f>
        <v>0.4105924132145673</v>
      </c>
      <c r="J24" s="1">
        <f>(D24 + 1.96^2/(2*F24) + 1.96*SQRT(D24*(1-D24)/F24 + 1.96^2/(4*F24^2)))/(1 + 1.96^2/F24)</f>
        <v>0.78719375757637089</v>
      </c>
      <c r="K24" s="1" t="str">
        <f>IF(H24&lt;0.05,"Yes","No")</f>
        <v>Yes</v>
      </c>
      <c r="L24" s="1">
        <f>(Params!$B$2*Params!$C$2)/(1+(Params!$C$2-1)*Params!$A$2)</f>
        <v>76.153846153846146</v>
      </c>
      <c r="M24" s="1">
        <f>(D24-C24)/SQRT(C24*(1-C24)/L24)</f>
        <v>-3349.60355534058</v>
      </c>
      <c r="N24" s="1">
        <f>2*(1-_xlfn.NORM.S.DIST(ABS(M24),TRUE))</f>
        <v>0</v>
      </c>
      <c r="O24" s="1" t="str">
        <f>IF(N24&lt;0.05,"Yes","No")</f>
        <v>Yes</v>
      </c>
    </row>
    <row r="25" spans="1:15" x14ac:dyDescent="0.2">
      <c r="A25" t="s">
        <v>10</v>
      </c>
      <c r="B25" t="s">
        <v>14</v>
      </c>
      <c r="C25" s="1">
        <v>9.9999999999999995E-7</v>
      </c>
      <c r="D25" s="1">
        <v>0.37878787878787878</v>
      </c>
      <c r="E25" s="1">
        <v>75</v>
      </c>
      <c r="F25" s="1">
        <v>22</v>
      </c>
      <c r="G25" s="1">
        <f>(D25-C25)/SQRT(C25*(1-C25)/F25)</f>
        <v>1776.6688342156333</v>
      </c>
      <c r="H25" s="1">
        <f>2*(1-_xlfn.NORM.S.DIST(ABS(G25),TRUE))</f>
        <v>0</v>
      </c>
      <c r="I25" s="1">
        <f>(D25 + 1.96^2/(2*F25) - 1.96*SQRT(D25*(1-D25)/F25 + 1.96^2/(4*F25^2)))/(1 + 1.96^2/F25)</f>
        <v>0.20890986048561769</v>
      </c>
      <c r="J25" s="1">
        <f>(D25 + 1.96^2/(2*F25) + 1.96*SQRT(D25*(1-D25)/F25 + 1.96^2/(4*F25^2)))/(1 + 1.96^2/F25)</f>
        <v>0.58470456999340314</v>
      </c>
      <c r="K25" s="1" t="str">
        <f>IF(H25&lt;0.05,"Yes","No")</f>
        <v>Yes</v>
      </c>
      <c r="L25" s="1">
        <f>(Params!$B$2*Params!$C$2)/(1+(Params!$C$2-1)*Params!$A$2)</f>
        <v>76.153846153846146</v>
      </c>
      <c r="M25" s="1">
        <f>(D25-C25)/SQRT(C25*(1-C25)/L25)</f>
        <v>3305.529709572817</v>
      </c>
      <c r="N25" s="1">
        <f>2*(1-_xlfn.NORM.S.DIST(ABS(M25),TRUE))</f>
        <v>0</v>
      </c>
      <c r="O25" s="1" t="str">
        <f>IF(N25&lt;0.05,"Yes","No")</f>
        <v>Yes</v>
      </c>
    </row>
    <row r="26" spans="1:15" x14ac:dyDescent="0.2">
      <c r="A26" t="s">
        <v>11</v>
      </c>
      <c r="B26" t="s">
        <v>13</v>
      </c>
      <c r="C26" s="1">
        <v>0.69426751592356684</v>
      </c>
      <c r="D26" s="1">
        <v>0.43434343434343442</v>
      </c>
      <c r="E26" s="1">
        <v>86</v>
      </c>
      <c r="F26" s="1">
        <v>22</v>
      </c>
      <c r="G26" s="1">
        <f>(D26-C26)/SQRT(C26*(1-C26)/F26)</f>
        <v>-2.6462059600563945</v>
      </c>
      <c r="H26" s="1">
        <f>2*(1-_xlfn.NORM.S.DIST(ABS(G26),TRUE))</f>
        <v>8.1400238550188853E-3</v>
      </c>
      <c r="I26" s="1">
        <f>(D26 + 1.96^2/(2*F26) - 1.96*SQRT(D26*(1-D26)/F26 + 1.96^2/(4*F26^2)))/(1 + 1.96^2/F26)</f>
        <v>0.25274218510648622</v>
      </c>
      <c r="J26" s="1">
        <f>(D26 + 1.96^2/(2*F26) + 1.96*SQRT(D26*(1-D26)/F26 + 1.96^2/(4*F26^2)))/(1 + 1.96^2/F26)</f>
        <v>0.63546563140298373</v>
      </c>
      <c r="K26" s="1" t="str">
        <f>IF(H26&lt;0.05,"Yes","No")</f>
        <v>Yes</v>
      </c>
      <c r="L26" s="1">
        <f>(Params!$B$2*Params!$C$2)/(1+(Params!$C$2-1)*Params!$A$2)</f>
        <v>76.153846153846146</v>
      </c>
      <c r="M26" s="1">
        <f>(D26-C26)/SQRT(C26*(1-C26)/L26)</f>
        <v>-4.9233218088596464</v>
      </c>
      <c r="N26" s="1">
        <f>2*(1-_xlfn.NORM.S.DIST(ABS(M26),TRUE))</f>
        <v>8.5087355583546298E-7</v>
      </c>
      <c r="O26" s="1" t="str">
        <f>IF(N26&lt;0.05,"Yes","No")</f>
        <v>Yes</v>
      </c>
    </row>
    <row r="27" spans="1:15" x14ac:dyDescent="0.2">
      <c r="A27" t="s">
        <v>11</v>
      </c>
      <c r="B27" t="s">
        <v>14</v>
      </c>
      <c r="C27" s="1">
        <v>0.22292993630573249</v>
      </c>
      <c r="D27" s="1">
        <v>0.47979797979797978</v>
      </c>
      <c r="E27" s="1">
        <v>95</v>
      </c>
      <c r="F27" s="1">
        <v>22</v>
      </c>
      <c r="G27" s="1">
        <f>(D27-C27)/SQRT(C27*(1-C27)/F27)</f>
        <v>2.8947238084556761</v>
      </c>
      <c r="H27" s="1">
        <f>2*(1-_xlfn.NORM.S.DIST(ABS(G27),TRUE))</f>
        <v>3.7949227213225356E-3</v>
      </c>
      <c r="I27" s="1">
        <f>(D27 + 1.96^2/(2*F27) - 1.96*SQRT(D27*(1-D27)/F27 + 1.96^2/(4*F27^2)))/(1 + 1.96^2/F27)</f>
        <v>0.29015326039719991</v>
      </c>
      <c r="J27" s="1">
        <f>(D27 + 1.96^2/(2*F27) + 1.96*SQRT(D27*(1-D27)/F27 + 1.96^2/(4*F27^2)))/(1 + 1.96^2/F27)</f>
        <v>0.67544914468263684</v>
      </c>
      <c r="K27" s="1" t="str">
        <f>IF(H27&lt;0.05,"Yes","No")</f>
        <v>Yes</v>
      </c>
      <c r="L27" s="1">
        <f>(Params!$B$2*Params!$C$2)/(1+(Params!$C$2-1)*Params!$A$2)</f>
        <v>76.153846153846146</v>
      </c>
      <c r="M27" s="1">
        <f>(D27-C27)/SQRT(C27*(1-C27)/L27)</f>
        <v>5.3856944893629368</v>
      </c>
      <c r="N27" s="1">
        <f>2*(1-_xlfn.NORM.S.DIST(ABS(M27),TRUE))</f>
        <v>7.2165452280614772E-8</v>
      </c>
      <c r="O27" s="1" t="str">
        <f>IF(N27&lt;0.05,"Yes","No")</f>
        <v>Yes</v>
      </c>
    </row>
    <row r="28" spans="1:15" x14ac:dyDescent="0.2">
      <c r="A28" t="s">
        <v>12</v>
      </c>
      <c r="B28" t="s">
        <v>13</v>
      </c>
      <c r="C28" s="1">
        <v>0.52333333333333332</v>
      </c>
      <c r="D28" s="1">
        <v>0.43939393939393939</v>
      </c>
      <c r="E28" s="1">
        <v>87</v>
      </c>
      <c r="F28" s="1">
        <v>22</v>
      </c>
      <c r="G28" s="1">
        <f>(D28-C28)/SQRT(C28*(1-C28)/F28)</f>
        <v>-0.78828012971445893</v>
      </c>
      <c r="H28" s="1">
        <f>2*(1-_xlfn.NORM.S.DIST(ABS(G28),TRUE))</f>
        <v>0.43053286773771005</v>
      </c>
      <c r="I28" s="1">
        <f>(D28 + 1.96^2/(2*F28) - 1.96*SQRT(D28*(1-D28)/F28 + 1.96^2/(4*F28^2)))/(1 + 1.96^2/F28)</f>
        <v>0.25683112772116629</v>
      </c>
      <c r="J28" s="1">
        <f>(D28 + 1.96^2/(2*F28) + 1.96*SQRT(D28*(1-D28)/F28 + 1.96^2/(4*F28^2)))/(1 + 1.96^2/F28)</f>
        <v>0.63997608751834423</v>
      </c>
      <c r="K28" s="1" t="str">
        <f>IF(H28&lt;0.05,"Yes","No")</f>
        <v>No</v>
      </c>
      <c r="L28" s="1">
        <f>(Params!$B$2*Params!$C$2)/(1+(Params!$C$2-1)*Params!$A$2)</f>
        <v>76.153846153846146</v>
      </c>
      <c r="M28" s="1">
        <f>(D28-C28)/SQRT(C28*(1-C28)/L28)</f>
        <v>-1.4666117500661959</v>
      </c>
      <c r="N28" s="1">
        <f>2*(1-_xlfn.NORM.S.DIST(ABS(M28),TRUE))</f>
        <v>0.14248170180453923</v>
      </c>
      <c r="O28" s="1" t="str">
        <f>IF(N28&lt;0.05,"Yes","No")</f>
        <v>No</v>
      </c>
    </row>
    <row r="29" spans="1:15" x14ac:dyDescent="0.2">
      <c r="A29" t="s">
        <v>12</v>
      </c>
      <c r="B29" t="s">
        <v>14</v>
      </c>
      <c r="C29" s="1">
        <v>0.1166666666666667</v>
      </c>
      <c r="D29" s="1">
        <v>0.37373737373737381</v>
      </c>
      <c r="E29" s="1">
        <v>74</v>
      </c>
      <c r="F29" s="1">
        <v>22</v>
      </c>
      <c r="G29" s="1">
        <f>(D29-C29)/SQRT(C29*(1-C29)/F29)</f>
        <v>3.7560228707798111</v>
      </c>
      <c r="H29" s="1">
        <f>2*(1-_xlfn.NORM.S.DIST(ABS(G29),TRUE))</f>
        <v>1.7263492410735104E-4</v>
      </c>
      <c r="I29" s="1">
        <f>(D29 + 1.96^2/(2*F29) - 1.96*SQRT(D29*(1-D29)/F29 + 1.96^2/(4*F29^2)))/(1 + 1.96^2/F29)</f>
        <v>0.20503156481467344</v>
      </c>
      <c r="J29" s="1">
        <f>(D29 + 1.96^2/(2*F29) + 1.96*SQRT(D29*(1-D29)/F29 + 1.96^2/(4*F29^2)))/(1 + 1.96^2/F29)</f>
        <v>0.5799834669343068</v>
      </c>
      <c r="K29" s="1" t="str">
        <f>IF(H29&lt;0.05,"Yes","No")</f>
        <v>Yes</v>
      </c>
      <c r="L29" s="1">
        <f>(Params!$B$2*Params!$C$2)/(1+(Params!$C$2-1)*Params!$A$2)</f>
        <v>76.153846153846146</v>
      </c>
      <c r="M29" s="1">
        <f>(D29-C29)/SQRT(C29*(1-C29)/L29)</f>
        <v>6.9881594983225606</v>
      </c>
      <c r="N29" s="1">
        <f>2*(1-_xlfn.NORM.S.DIST(ABS(M29),TRUE))</f>
        <v>2.7851054795746677E-12</v>
      </c>
      <c r="O29" s="1" t="str">
        <f>IF(N29&lt;0.05,"Yes","No")</f>
        <v>Yes</v>
      </c>
    </row>
  </sheetData>
  <sortState xmlns:xlrd2="http://schemas.microsoft.com/office/spreadsheetml/2017/richdata2" ref="A2:O29">
    <sortCondition descending="1" ref="F1:F29"/>
  </sortState>
  <conditionalFormatting sqref="K1:K29">
    <cfRule type="cellIs" dxfId="1" priority="2" operator="equal">
      <formula>"No"</formula>
    </cfRule>
  </conditionalFormatting>
  <conditionalFormatting sqref="A1:O29">
    <cfRule type="cellIs" dxfId="0" priority="1" operator="equal">
      <formula>"No"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baseColWidth="10" defaultColWidth="8.83203125" defaultRowHeight="15" x14ac:dyDescent="0.2"/>
  <sheetData>
    <row r="1" spans="1:3" x14ac:dyDescent="0.2">
      <c r="A1" s="2" t="s">
        <v>15</v>
      </c>
      <c r="B1" s="2" t="s">
        <v>16</v>
      </c>
      <c r="C1" s="2" t="s">
        <v>17</v>
      </c>
    </row>
    <row r="2" spans="1:3" x14ac:dyDescent="0.2">
      <c r="A2">
        <v>0.2</v>
      </c>
      <c r="B2">
        <v>22</v>
      </c>
      <c r="C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Tests</vt:lpstr>
      <vt:lpstr>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Anthoula Revythiadou</cp:lastModifiedBy>
  <dcterms:created xsi:type="dcterms:W3CDTF">2025-09-18T10:17:31Z</dcterms:created>
  <dcterms:modified xsi:type="dcterms:W3CDTF">2026-04-21T18:45:08Z</dcterms:modified>
</cp:coreProperties>
</file>