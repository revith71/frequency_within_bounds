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Lg&amp;Sp_reviews/article/revision/Supplemental_materials/Hypothesis_testing_results/"/>
    </mc:Choice>
  </mc:AlternateContent>
  <xr:revisionPtr revIDLastSave="0" documentId="13_ncr:1_{85B67917-29DE-9342-B437-0A93BEB12FAA}" xr6:coauthVersionLast="47" xr6:coauthVersionMax="47" xr10:uidLastSave="{00000000-0000-0000-0000-000000000000}"/>
  <bookViews>
    <workbookView xWindow="1460" yWindow="660" windowWidth="22140" windowHeight="1252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29" i="1"/>
  <c r="J14" i="1"/>
  <c r="J28" i="1"/>
  <c r="J13" i="1"/>
  <c r="J27" i="1"/>
  <c r="J12" i="1"/>
  <c r="J26" i="1"/>
  <c r="J11" i="1"/>
  <c r="J25" i="1"/>
  <c r="J10" i="1"/>
  <c r="J24" i="1"/>
  <c r="J9" i="1"/>
  <c r="J23" i="1"/>
  <c r="J8" i="1"/>
  <c r="J22" i="1"/>
  <c r="J7" i="1"/>
  <c r="J21" i="1"/>
  <c r="J6" i="1"/>
  <c r="J20" i="1"/>
  <c r="J5" i="1"/>
  <c r="J19" i="1"/>
  <c r="J4" i="1"/>
  <c r="J18" i="1"/>
  <c r="J3" i="1"/>
  <c r="J17" i="1"/>
  <c r="J2" i="1"/>
  <c r="J16" i="1"/>
  <c r="I15" i="1"/>
  <c r="I29" i="1"/>
  <c r="I14" i="1"/>
  <c r="I28" i="1"/>
  <c r="I13" i="1"/>
  <c r="I27" i="1"/>
  <c r="I12" i="1"/>
  <c r="I26" i="1"/>
  <c r="I11" i="1"/>
  <c r="I25" i="1"/>
  <c r="I10" i="1"/>
  <c r="I24" i="1"/>
  <c r="I9" i="1"/>
  <c r="I23" i="1"/>
  <c r="I8" i="1"/>
  <c r="I22" i="1"/>
  <c r="I7" i="1"/>
  <c r="I21" i="1"/>
  <c r="I6" i="1"/>
  <c r="I20" i="1"/>
  <c r="I5" i="1"/>
  <c r="I19" i="1"/>
  <c r="I4" i="1"/>
  <c r="I18" i="1"/>
  <c r="I3" i="1"/>
  <c r="I17" i="1"/>
  <c r="I2" i="1"/>
  <c r="I16" i="1"/>
  <c r="C10" i="1" l="1"/>
  <c r="C24" i="1"/>
  <c r="L15" i="1"/>
  <c r="M15" i="1" s="1"/>
  <c r="G15" i="1"/>
  <c r="H15" i="1" s="1"/>
  <c r="K15" i="1" s="1"/>
  <c r="M29" i="1"/>
  <c r="L29" i="1"/>
  <c r="K29" i="1"/>
  <c r="G29" i="1"/>
  <c r="H29" i="1" s="1"/>
  <c r="L14" i="1"/>
  <c r="M14" i="1" s="1"/>
  <c r="G14" i="1"/>
  <c r="H14" i="1" s="1"/>
  <c r="K14" i="1" s="1"/>
  <c r="L28" i="1"/>
  <c r="M28" i="1" s="1"/>
  <c r="G28" i="1"/>
  <c r="L13" i="1"/>
  <c r="M13" i="1" s="1"/>
  <c r="G13" i="1"/>
  <c r="L27" i="1"/>
  <c r="M27" i="1" s="1"/>
  <c r="G27" i="1"/>
  <c r="L12" i="1"/>
  <c r="M12" i="1" s="1"/>
  <c r="G12" i="1"/>
  <c r="H12" i="1" s="1"/>
  <c r="K12" i="1" s="1"/>
  <c r="M26" i="1"/>
  <c r="L26" i="1"/>
  <c r="G26" i="1"/>
  <c r="L11" i="1"/>
  <c r="M11" i="1" s="1"/>
  <c r="G11" i="1"/>
  <c r="L25" i="1"/>
  <c r="M25" i="1" s="1"/>
  <c r="G25" i="1"/>
  <c r="L10" i="1"/>
  <c r="M10" i="1" s="1"/>
  <c r="G10" i="1"/>
  <c r="M24" i="1"/>
  <c r="L24" i="1"/>
  <c r="G24" i="1"/>
  <c r="L9" i="1"/>
  <c r="M9" i="1" s="1"/>
  <c r="G9" i="1"/>
  <c r="L23" i="1"/>
  <c r="M23" i="1" s="1"/>
  <c r="G23" i="1"/>
  <c r="L8" i="1"/>
  <c r="M8" i="1" s="1"/>
  <c r="K8" i="1"/>
  <c r="G8" i="1"/>
  <c r="H8" i="1" s="1"/>
  <c r="L22" i="1"/>
  <c r="M22" i="1" s="1"/>
  <c r="G22" i="1"/>
  <c r="L7" i="1"/>
  <c r="M7" i="1" s="1"/>
  <c r="G7" i="1"/>
  <c r="L21" i="1"/>
  <c r="M21" i="1" s="1"/>
  <c r="G21" i="1"/>
  <c r="L6" i="1"/>
  <c r="M6" i="1" s="1"/>
  <c r="G6" i="1"/>
  <c r="H6" i="1" s="1"/>
  <c r="K6" i="1" s="1"/>
  <c r="L20" i="1"/>
  <c r="M20" i="1" s="1"/>
  <c r="G20" i="1"/>
  <c r="L5" i="1"/>
  <c r="M5" i="1" s="1"/>
  <c r="G5" i="1"/>
  <c r="L19" i="1"/>
  <c r="M19" i="1" s="1"/>
  <c r="G19" i="1"/>
  <c r="L4" i="1"/>
  <c r="M4" i="1" s="1"/>
  <c r="G4" i="1"/>
  <c r="H4" i="1" s="1"/>
  <c r="K4" i="1" s="1"/>
  <c r="L18" i="1"/>
  <c r="M18" i="1" s="1"/>
  <c r="G18" i="1"/>
  <c r="L3" i="1"/>
  <c r="M3" i="1" s="1"/>
  <c r="G3" i="1"/>
  <c r="L17" i="1"/>
  <c r="M17" i="1" s="1"/>
  <c r="G17" i="1"/>
  <c r="L2" i="1"/>
  <c r="M2" i="1" s="1"/>
  <c r="G2" i="1"/>
  <c r="H2" i="1" s="1"/>
  <c r="K2" i="1" s="1"/>
  <c r="M16" i="1"/>
  <c r="L16" i="1"/>
  <c r="G16" i="1"/>
  <c r="N20" i="1" l="1"/>
  <c r="O20" i="1" s="1"/>
  <c r="N28" i="1"/>
  <c r="O28" i="1" s="1"/>
  <c r="N22" i="1"/>
  <c r="O22" i="1" s="1"/>
  <c r="N18" i="1"/>
  <c r="O18" i="1" s="1"/>
  <c r="N14" i="1"/>
  <c r="O14" i="1" s="1"/>
  <c r="N29" i="1"/>
  <c r="O29" i="1" s="1"/>
  <c r="H9" i="1"/>
  <c r="K9" i="1" s="1"/>
  <c r="N8" i="1"/>
  <c r="O8" i="1" s="1"/>
  <c r="N10" i="1"/>
  <c r="O10" i="1" s="1"/>
  <c r="N2" i="1"/>
  <c r="O2" i="1" s="1"/>
  <c r="H17" i="1"/>
  <c r="K17" i="1" s="1"/>
  <c r="N17" i="1"/>
  <c r="O17" i="1" s="1"/>
  <c r="H27" i="1"/>
  <c r="K27" i="1" s="1"/>
  <c r="H10" i="1"/>
  <c r="K10" i="1" s="1"/>
  <c r="H20" i="1"/>
  <c r="K20" i="1" s="1"/>
  <c r="H23" i="1"/>
  <c r="K23" i="1" s="1"/>
  <c r="N23" i="1"/>
  <c r="O23" i="1" s="1"/>
  <c r="H22" i="1"/>
  <c r="K22" i="1" s="1"/>
  <c r="H11" i="1"/>
  <c r="K11" i="1" s="1"/>
  <c r="H16" i="1"/>
  <c r="K16" i="1" s="1"/>
  <c r="H3" i="1"/>
  <c r="K3" i="1" s="1"/>
  <c r="H19" i="1"/>
  <c r="K19" i="1" s="1"/>
  <c r="H24" i="1"/>
  <c r="K24" i="1" s="1"/>
  <c r="N11" i="1"/>
  <c r="O11" i="1" s="1"/>
  <c r="N27" i="1"/>
  <c r="O27" i="1" s="1"/>
  <c r="N15" i="1"/>
  <c r="O15" i="1" s="1"/>
  <c r="N21" i="1"/>
  <c r="O21" i="1" s="1"/>
  <c r="N26" i="1"/>
  <c r="O26" i="1" s="1"/>
  <c r="N7" i="1"/>
  <c r="O7" i="1" s="1"/>
  <c r="N25" i="1"/>
  <c r="O25" i="1" s="1"/>
  <c r="N4" i="1"/>
  <c r="O4" i="1" s="1"/>
  <c r="N9" i="1"/>
  <c r="O9" i="1" s="1"/>
  <c r="N3" i="1"/>
  <c r="O3" i="1" s="1"/>
  <c r="N19" i="1"/>
  <c r="O19" i="1" s="1"/>
  <c r="N6" i="1"/>
  <c r="O6" i="1" s="1"/>
  <c r="H26" i="1"/>
  <c r="K26" i="1" s="1"/>
  <c r="H13" i="1"/>
  <c r="K13" i="1" s="1"/>
  <c r="N5" i="1"/>
  <c r="O5" i="1" s="1"/>
  <c r="H28" i="1"/>
  <c r="K28" i="1" s="1"/>
  <c r="H7" i="1"/>
  <c r="K7" i="1" s="1"/>
  <c r="H25" i="1"/>
  <c r="K25" i="1" s="1"/>
  <c r="N12" i="1"/>
  <c r="O12" i="1" s="1"/>
  <c r="N16" i="1"/>
  <c r="O16" i="1" s="1"/>
  <c r="H18" i="1"/>
  <c r="K18" i="1" s="1"/>
  <c r="H5" i="1"/>
  <c r="K5" i="1" s="1"/>
  <c r="H21" i="1"/>
  <c r="K21" i="1" s="1"/>
  <c r="N24" i="1"/>
  <c r="O24" i="1" s="1"/>
  <c r="N13" i="1"/>
  <c r="O13" i="1" s="1"/>
</calcChain>
</file>

<file path=xl/sharedStrings.xml><?xml version="1.0" encoding="utf-8"?>
<sst xmlns="http://schemas.openxmlformats.org/spreadsheetml/2006/main" count="73" uniqueCount="27">
  <si>
    <t>Class</t>
  </si>
  <si>
    <t>Property</t>
  </si>
  <si>
    <t>Lexicon_p0</t>
  </si>
  <si>
    <t>Experimental_phat</t>
  </si>
  <si>
    <t>Raw_successes</t>
  </si>
  <si>
    <t>n_case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</si>
  <si>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</si>
  <si>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</si>
  <si>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</si>
  <si>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</si>
  <si>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</si>
  <si>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</si>
  <si>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</si>
  <si>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</si>
  <si>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</si>
  <si>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</si>
  <si>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</si>
  <si>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</si>
  <si>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Z</t>
  </si>
  <si>
    <t>p_value_2s</t>
  </si>
  <si>
    <t>Signif_0.05</t>
  </si>
  <si>
    <t>ICC_Neff_rho</t>
  </si>
  <si>
    <t>ICC_Z</t>
  </si>
  <si>
    <t>ICC_p_value_2s</t>
  </si>
  <si>
    <t>ICC_Signif_0.05</t>
  </si>
  <si>
    <t>CI_low(Wilson)</t>
  </si>
  <si>
    <t>CI_high(Wilson)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</si>
</sst>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0" fillId="0" borderId="2" xfId="0" applyBorder="1"/>
    <xf numFmtId="164" fontId="0" fillId="0" borderId="2" xfId="0" applyNumberFormat="1" applyBorder="1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sqref="A1:XFD1"/>
    </sheetView>
  </sheetViews>
  <sheetFormatPr baseColWidth="10" defaultColWidth="8.83203125" defaultRowHeight="15" x14ac:dyDescent="0.2"/>
  <cols>
    <col min="3" max="6" width="12.6640625" style="1" customWidth="1"/>
    <col min="7" max="15" width="14.6640625" style="1" customWidth="1"/>
  </cols>
  <sheetData>
    <row r="1" spans="1:15" s="6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18</v>
      </c>
      <c r="H1" s="3" t="s">
        <v>19</v>
      </c>
      <c r="I1" s="3" t="s">
        <v>25</v>
      </c>
      <c r="J1" s="3" t="s">
        <v>26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 x14ac:dyDescent="0.2">
      <c r="A2" t="s">
        <v>6</v>
      </c>
      <c r="B2" t="s">
        <v>13</v>
      </c>
      <c r="C2" s="1">
        <v>0.1517094017094017</v>
      </c>
      <c r="D2" s="1">
        <v>0.22222222222222221</v>
      </c>
      <c r="E2" s="1">
        <v>24</v>
      </c>
      <c r="F2" s="1">
        <v>108</v>
      </c>
      <c r="G2" s="1">
        <f t="shared" ref="G2:G29" si="0">(D2-C2)/SQRT(C2*(1-C2)/F2)</f>
        <v>2.0426849535056526</v>
      </c>
      <c r="H2" s="1">
        <f t="shared" ref="H2:H29" si="1">2*(1-_xlfn.NORM.S.DIST(ABS(G2),TRUE))</f>
        <v>4.1083635252029405E-2</v>
      </c>
      <c r="I2" s="1">
        <f t="shared" ref="I2:I29" si="2">(D2 + 1.96^2/(2*F2) - 1.96*SQRT(D2*(1-D2)/F2 + 1.96^2/(4*F2^2)))/(1 + 1.96^2/F2)</f>
        <v>0.15412441082279263</v>
      </c>
      <c r="J2" s="1">
        <f t="shared" ref="J2:J29" si="3">(D2 + 1.96^2/(2*F2) + 1.96*SQRT(D2*(1-D2)/F2 + 1.96^2/(4*F2^2)))/(1 + 1.96^2/F2)</f>
        <v>0.30940257734618914</v>
      </c>
      <c r="K2" s="1" t="str">
        <f t="shared" ref="K2:K29" si="4">IF(H2&lt;0.05,"Yes","No")</f>
        <v>Yes</v>
      </c>
      <c r="L2" s="1">
        <f>(Params!$B$2*Params!$C$2)/(1+(Params!$C$2-1)*Params!$A$2)</f>
        <v>41.53846153846154</v>
      </c>
      <c r="M2" s="1">
        <f t="shared" ref="M2:M29" si="5">(D2-C2)/SQRT(C2*(1-C2)/L2)</f>
        <v>1.2668194302872164</v>
      </c>
      <c r="N2" s="1">
        <f t="shared" ref="N2:N29" si="6">2*(1-_xlfn.NORM.S.DIST(ABS(M2),TRUE))</f>
        <v>0.20521986283263205</v>
      </c>
      <c r="O2" s="1" t="str">
        <f t="shared" ref="O2:O29" si="7">IF(N2&lt;0.05,"Yes","No")</f>
        <v>No</v>
      </c>
    </row>
    <row r="3" spans="1:15" x14ac:dyDescent="0.2">
      <c r="A3" t="s">
        <v>6</v>
      </c>
      <c r="B3" t="s">
        <v>14</v>
      </c>
      <c r="C3" s="1">
        <v>0.67735042735042739</v>
      </c>
      <c r="D3" s="1">
        <v>0.73148148148148151</v>
      </c>
      <c r="E3" s="1">
        <v>79</v>
      </c>
      <c r="F3" s="1">
        <v>108</v>
      </c>
      <c r="G3" s="1">
        <f t="shared" si="0"/>
        <v>1.2033337859763353</v>
      </c>
      <c r="H3" s="1">
        <f t="shared" si="1"/>
        <v>0.22884717974122903</v>
      </c>
      <c r="I3" s="1">
        <f t="shared" si="2"/>
        <v>0.64100866138865753</v>
      </c>
      <c r="J3" s="1">
        <f t="shared" si="3"/>
        <v>0.80605218180385751</v>
      </c>
      <c r="K3" s="1" t="str">
        <f t="shared" si="4"/>
        <v>No</v>
      </c>
      <c r="L3" s="1">
        <f>(Params!$B$2*Params!$C$2)/(1+(Params!$C$2-1)*Params!$A$2)</f>
        <v>41.53846153846154</v>
      </c>
      <c r="M3" s="1">
        <f t="shared" si="5"/>
        <v>0.7462759338290107</v>
      </c>
      <c r="N3" s="1">
        <f t="shared" si="6"/>
        <v>0.45550074620605741</v>
      </c>
      <c r="O3" s="1" t="str">
        <f t="shared" si="7"/>
        <v>No</v>
      </c>
    </row>
    <row r="4" spans="1:15" x14ac:dyDescent="0.2">
      <c r="A4" t="s">
        <v>7</v>
      </c>
      <c r="B4" t="s">
        <v>13</v>
      </c>
      <c r="C4" s="1">
        <v>0.56417910447761199</v>
      </c>
      <c r="D4" s="1">
        <v>0.21296296296296299</v>
      </c>
      <c r="E4" s="1">
        <v>23</v>
      </c>
      <c r="F4" s="1">
        <v>108</v>
      </c>
      <c r="G4" s="1">
        <f t="shared" si="0"/>
        <v>-7.3607797377507218</v>
      </c>
      <c r="H4" s="1">
        <f t="shared" si="1"/>
        <v>1.8274270985330077E-13</v>
      </c>
      <c r="I4" s="1">
        <f t="shared" si="2"/>
        <v>0.14630847191772378</v>
      </c>
      <c r="J4" s="1">
        <f t="shared" si="3"/>
        <v>0.29933608252355748</v>
      </c>
      <c r="K4" s="1" t="str">
        <f t="shared" si="4"/>
        <v>Yes</v>
      </c>
      <c r="L4" s="1">
        <f>(Params!$B$2*Params!$C$2)/(1+(Params!$C$2-1)*Params!$A$2)</f>
        <v>41.53846153846154</v>
      </c>
      <c r="M4" s="1">
        <f t="shared" si="5"/>
        <v>-4.5649618057076715</v>
      </c>
      <c r="N4" s="1">
        <f t="shared" si="6"/>
        <v>4.9958528895999166E-6</v>
      </c>
      <c r="O4" s="1" t="str">
        <f t="shared" si="7"/>
        <v>Yes</v>
      </c>
    </row>
    <row r="5" spans="1:15" x14ac:dyDescent="0.2">
      <c r="A5" t="s">
        <v>7</v>
      </c>
      <c r="B5" t="s">
        <v>14</v>
      </c>
      <c r="C5" s="1">
        <v>0.19104477611940299</v>
      </c>
      <c r="D5" s="1">
        <v>0.66666666666666663</v>
      </c>
      <c r="E5" s="1">
        <v>72</v>
      </c>
      <c r="F5" s="1">
        <v>108</v>
      </c>
      <c r="G5" s="1">
        <f t="shared" si="0"/>
        <v>12.573143932186708</v>
      </c>
      <c r="H5" s="1">
        <f t="shared" si="1"/>
        <v>0</v>
      </c>
      <c r="I5" s="1">
        <f t="shared" si="2"/>
        <v>0.57338740393583687</v>
      </c>
      <c r="J5" s="1">
        <f t="shared" si="3"/>
        <v>0.74849640316277388</v>
      </c>
      <c r="K5" s="1" t="str">
        <f t="shared" si="4"/>
        <v>Yes</v>
      </c>
      <c r="L5" s="1">
        <f>(Params!$B$2*Params!$C$2)/(1+(Params!$C$2-1)*Params!$A$2)</f>
        <v>41.53846153846154</v>
      </c>
      <c r="M5" s="1">
        <f t="shared" si="5"/>
        <v>7.7975328529034744</v>
      </c>
      <c r="N5" s="1">
        <f t="shared" si="6"/>
        <v>6.2172489379008766E-15</v>
      </c>
      <c r="O5" s="1" t="str">
        <f t="shared" si="7"/>
        <v>Yes</v>
      </c>
    </row>
    <row r="6" spans="1:15" x14ac:dyDescent="0.2">
      <c r="A6" t="s">
        <v>8</v>
      </c>
      <c r="B6" t="s">
        <v>13</v>
      </c>
      <c r="C6" s="1">
        <v>3.6764705882352941E-3</v>
      </c>
      <c r="D6" s="1">
        <v>0.12037037037037041</v>
      </c>
      <c r="E6" s="1">
        <v>13</v>
      </c>
      <c r="F6" s="1">
        <v>108</v>
      </c>
      <c r="G6" s="1">
        <f t="shared" si="0"/>
        <v>20.037534820797788</v>
      </c>
      <c r="H6" s="1">
        <f t="shared" si="1"/>
        <v>0</v>
      </c>
      <c r="I6" s="1">
        <f t="shared" si="2"/>
        <v>7.1709958980432975E-2</v>
      </c>
      <c r="J6" s="1">
        <f t="shared" si="3"/>
        <v>0.19511025818384226</v>
      </c>
      <c r="K6" s="1" t="str">
        <f t="shared" si="4"/>
        <v>Yes</v>
      </c>
      <c r="L6" s="1">
        <f>(Params!$B$2*Params!$C$2)/(1+(Params!$C$2-1)*Params!$A$2)</f>
        <v>41.53846153846154</v>
      </c>
      <c r="M6" s="1">
        <f t="shared" si="5"/>
        <v>12.426751566598384</v>
      </c>
      <c r="N6" s="1">
        <f t="shared" si="6"/>
        <v>0</v>
      </c>
      <c r="O6" s="1" t="str">
        <f t="shared" si="7"/>
        <v>Yes</v>
      </c>
    </row>
    <row r="7" spans="1:15" x14ac:dyDescent="0.2">
      <c r="A7" t="s">
        <v>8</v>
      </c>
      <c r="B7" t="s">
        <v>14</v>
      </c>
      <c r="C7" s="1">
        <v>0.98897058823529416</v>
      </c>
      <c r="D7" s="1">
        <v>0.82407407407407407</v>
      </c>
      <c r="E7" s="1">
        <v>89</v>
      </c>
      <c r="F7" s="1">
        <v>108</v>
      </c>
      <c r="G7" s="1">
        <f t="shared" si="0"/>
        <v>-16.407994030866202</v>
      </c>
      <c r="H7" s="1">
        <f t="shared" si="1"/>
        <v>0</v>
      </c>
      <c r="I7" s="1">
        <f t="shared" si="2"/>
        <v>0.74150290035433986</v>
      </c>
      <c r="J7" s="1">
        <f t="shared" si="3"/>
        <v>0.88438228011518127</v>
      </c>
      <c r="K7" s="1" t="str">
        <f t="shared" si="4"/>
        <v>Yes</v>
      </c>
      <c r="L7" s="1">
        <f>(Params!$B$2*Params!$C$2)/(1+(Params!$C$2-1)*Params!$A$2)</f>
        <v>41.53846153846154</v>
      </c>
      <c r="M7" s="1">
        <f t="shared" si="5"/>
        <v>-10.175805923799029</v>
      </c>
      <c r="N7" s="1">
        <f t="shared" si="6"/>
        <v>0</v>
      </c>
      <c r="O7" s="1" t="str">
        <f t="shared" si="7"/>
        <v>Yes</v>
      </c>
    </row>
    <row r="8" spans="1:15" x14ac:dyDescent="0.2">
      <c r="A8" t="s">
        <v>9</v>
      </c>
      <c r="B8" t="s">
        <v>13</v>
      </c>
      <c r="C8" s="1">
        <v>3.9735099337748353E-2</v>
      </c>
      <c r="D8" s="1">
        <v>9.2592592592592587E-2</v>
      </c>
      <c r="E8" s="1">
        <v>10</v>
      </c>
      <c r="F8" s="1">
        <v>108</v>
      </c>
      <c r="G8" s="1">
        <f t="shared" si="0"/>
        <v>2.8121323845648569</v>
      </c>
      <c r="H8" s="1">
        <f t="shared" si="1"/>
        <v>4.9214243358304266E-3</v>
      </c>
      <c r="I8" s="1">
        <f t="shared" si="2"/>
        <v>5.1072779285118004E-2</v>
      </c>
      <c r="J8" s="1">
        <f t="shared" si="3"/>
        <v>0.16210013669605533</v>
      </c>
      <c r="K8" s="1" t="str">
        <f t="shared" si="4"/>
        <v>Yes</v>
      </c>
      <c r="L8" s="1">
        <f>(Params!$B$2*Params!$C$2)/(1+(Params!$C$2-1)*Params!$A$2)</f>
        <v>41.53846153846154</v>
      </c>
      <c r="M8" s="1">
        <f t="shared" si="5"/>
        <v>1.7440104697460994</v>
      </c>
      <c r="N8" s="1">
        <f t="shared" si="6"/>
        <v>8.1157264214784197E-2</v>
      </c>
      <c r="O8" s="1" t="str">
        <f t="shared" si="7"/>
        <v>No</v>
      </c>
    </row>
    <row r="9" spans="1:15" x14ac:dyDescent="0.2">
      <c r="A9" t="s">
        <v>9</v>
      </c>
      <c r="B9" t="s">
        <v>14</v>
      </c>
      <c r="C9" s="1">
        <v>0.60927152317880795</v>
      </c>
      <c r="D9" s="1">
        <v>0.69444444444444442</v>
      </c>
      <c r="E9" s="1">
        <v>75</v>
      </c>
      <c r="F9" s="1">
        <v>108</v>
      </c>
      <c r="G9" s="1">
        <f t="shared" si="0"/>
        <v>1.8141385350674304</v>
      </c>
      <c r="H9" s="1">
        <f t="shared" si="1"/>
        <v>6.9656400159923137E-2</v>
      </c>
      <c r="I9" s="1">
        <f t="shared" si="2"/>
        <v>0.60213215448194624</v>
      </c>
      <c r="J9" s="1">
        <f t="shared" si="3"/>
        <v>0.77339895379976642</v>
      </c>
      <c r="K9" s="1" t="str">
        <f t="shared" si="4"/>
        <v>No</v>
      </c>
      <c r="L9" s="1">
        <f>(Params!$B$2*Params!$C$2)/(1+(Params!$C$2-1)*Params!$A$2)</f>
        <v>41.53846153846154</v>
      </c>
      <c r="M9" s="1">
        <f t="shared" si="5"/>
        <v>1.1250809585257209</v>
      </c>
      <c r="N9" s="1">
        <f t="shared" si="6"/>
        <v>0.26055472939414126</v>
      </c>
      <c r="O9" s="1" t="str">
        <f t="shared" si="7"/>
        <v>No</v>
      </c>
    </row>
    <row r="10" spans="1:15" x14ac:dyDescent="0.2">
      <c r="A10" t="s">
        <v>10</v>
      </c>
      <c r="B10" t="s">
        <v>13</v>
      </c>
      <c r="C10" s="1">
        <f>1-0.000001</f>
        <v>0.99999899999999997</v>
      </c>
      <c r="D10" s="1">
        <v>0.42592592592592587</v>
      </c>
      <c r="E10" s="1">
        <v>46</v>
      </c>
      <c r="F10" s="1">
        <v>108</v>
      </c>
      <c r="G10" s="1">
        <f t="shared" si="0"/>
        <v>-5965.945372208942</v>
      </c>
      <c r="H10" s="1">
        <f t="shared" si="1"/>
        <v>0</v>
      </c>
      <c r="I10" s="1">
        <f t="shared" si="2"/>
        <v>0.33679066664892382</v>
      </c>
      <c r="J10" s="1">
        <f t="shared" si="3"/>
        <v>0.52014986352947123</v>
      </c>
      <c r="K10" s="1" t="str">
        <f t="shared" si="4"/>
        <v>Yes</v>
      </c>
      <c r="L10" s="1">
        <f>(Params!$B$2*Params!$C$2)/(1+(Params!$C$2-1)*Params!$A$2)</f>
        <v>41.53846153846154</v>
      </c>
      <c r="M10" s="1">
        <f t="shared" si="5"/>
        <v>-3699.922254078263</v>
      </c>
      <c r="N10" s="1">
        <f t="shared" si="6"/>
        <v>0</v>
      </c>
      <c r="O10" s="1" t="str">
        <f t="shared" si="7"/>
        <v>Yes</v>
      </c>
    </row>
    <row r="11" spans="1:15" x14ac:dyDescent="0.2">
      <c r="A11" t="s">
        <v>10</v>
      </c>
      <c r="B11" t="s">
        <v>14</v>
      </c>
      <c r="C11" s="1">
        <v>9.9999999999999995E-7</v>
      </c>
      <c r="D11" s="1">
        <v>0.55555555555555558</v>
      </c>
      <c r="E11" s="1">
        <v>60</v>
      </c>
      <c r="F11" s="1">
        <v>108</v>
      </c>
      <c r="G11" s="1">
        <f t="shared" si="0"/>
        <v>5773.4951863397282</v>
      </c>
      <c r="H11" s="1">
        <f t="shared" si="1"/>
        <v>0</v>
      </c>
      <c r="I11" s="1">
        <f t="shared" si="2"/>
        <v>0.46153447917124063</v>
      </c>
      <c r="J11" s="1">
        <f t="shared" si="3"/>
        <v>0.64576012319496312</v>
      </c>
      <c r="K11" s="1" t="str">
        <f t="shared" si="4"/>
        <v>Yes</v>
      </c>
      <c r="L11" s="1">
        <f>(Params!$B$2*Params!$C$2)/(1+(Params!$C$2-1)*Params!$A$2)</f>
        <v>41.53846153846154</v>
      </c>
      <c r="M11" s="1">
        <f t="shared" si="5"/>
        <v>3580.5697154486033</v>
      </c>
      <c r="N11" s="1">
        <f t="shared" si="6"/>
        <v>0</v>
      </c>
      <c r="O11" s="1" t="str">
        <f t="shared" si="7"/>
        <v>Yes</v>
      </c>
    </row>
    <row r="12" spans="1:15" x14ac:dyDescent="0.2">
      <c r="A12" t="s">
        <v>11</v>
      </c>
      <c r="B12" t="s">
        <v>13</v>
      </c>
      <c r="C12" s="1">
        <v>0.69918699186991873</v>
      </c>
      <c r="D12" s="1">
        <v>0.46296296296296302</v>
      </c>
      <c r="E12" s="1">
        <v>50</v>
      </c>
      <c r="F12" s="1">
        <v>108</v>
      </c>
      <c r="G12" s="1">
        <f t="shared" si="0"/>
        <v>-5.3529227239579509</v>
      </c>
      <c r="H12" s="1">
        <f t="shared" si="1"/>
        <v>8.6544815536271358E-8</v>
      </c>
      <c r="I12" s="1">
        <f t="shared" si="2"/>
        <v>0.37181410842360224</v>
      </c>
      <c r="J12" s="1">
        <f t="shared" si="3"/>
        <v>0.55665615666559543</v>
      </c>
      <c r="K12" s="1" t="str">
        <f t="shared" si="4"/>
        <v>Yes</v>
      </c>
      <c r="L12" s="1">
        <f>(Params!$B$2*Params!$C$2)/(1+(Params!$C$2-1)*Params!$A$2)</f>
        <v>41.53846153846154</v>
      </c>
      <c r="M12" s="1">
        <f t="shared" si="5"/>
        <v>-3.3197417467133361</v>
      </c>
      <c r="N12" s="1">
        <f t="shared" si="6"/>
        <v>9.010075643540727E-4</v>
      </c>
      <c r="O12" s="1" t="str">
        <f t="shared" si="7"/>
        <v>Yes</v>
      </c>
    </row>
    <row r="13" spans="1:15" x14ac:dyDescent="0.2">
      <c r="A13" t="s">
        <v>11</v>
      </c>
      <c r="B13" t="s">
        <v>14</v>
      </c>
      <c r="C13" s="1">
        <v>0.23983739837398371</v>
      </c>
      <c r="D13" s="1">
        <v>0.5</v>
      </c>
      <c r="E13" s="1">
        <v>54</v>
      </c>
      <c r="F13" s="1">
        <v>108</v>
      </c>
      <c r="G13" s="1">
        <f t="shared" si="0"/>
        <v>6.3320603095659784</v>
      </c>
      <c r="H13" s="1">
        <f t="shared" si="1"/>
        <v>2.4190893732622953E-10</v>
      </c>
      <c r="I13" s="1">
        <f t="shared" si="2"/>
        <v>0.407333152227769</v>
      </c>
      <c r="J13" s="1">
        <f t="shared" si="3"/>
        <v>0.592666847772231</v>
      </c>
      <c r="K13" s="1" t="str">
        <f t="shared" si="4"/>
        <v>Yes</v>
      </c>
      <c r="L13" s="1">
        <f>(Params!$B$2*Params!$C$2)/(1+(Params!$C$2-1)*Params!$A$2)</f>
        <v>41.53846153846154</v>
      </c>
      <c r="M13" s="1">
        <f t="shared" si="5"/>
        <v>3.9269770994993864</v>
      </c>
      <c r="N13" s="1">
        <f t="shared" si="6"/>
        <v>8.6020167801237335E-5</v>
      </c>
      <c r="O13" s="1" t="str">
        <f t="shared" si="7"/>
        <v>Yes</v>
      </c>
    </row>
    <row r="14" spans="1:15" x14ac:dyDescent="0.2">
      <c r="A14" t="s">
        <v>12</v>
      </c>
      <c r="B14" t="s">
        <v>13</v>
      </c>
      <c r="C14" s="1">
        <v>0.48648648648648651</v>
      </c>
      <c r="D14" s="1">
        <v>0.39814814814814808</v>
      </c>
      <c r="E14" s="1">
        <v>43</v>
      </c>
      <c r="F14" s="1">
        <v>108</v>
      </c>
      <c r="G14" s="1">
        <f t="shared" si="0"/>
        <v>-1.8367488416018793</v>
      </c>
      <c r="H14" s="1">
        <f t="shared" si="1"/>
        <v>6.624698135379492E-2</v>
      </c>
      <c r="I14" s="1">
        <f t="shared" si="2"/>
        <v>0.31085532269880395</v>
      </c>
      <c r="J14" s="1">
        <f t="shared" si="3"/>
        <v>0.4924379062964892</v>
      </c>
      <c r="K14" s="1" t="str">
        <f t="shared" si="4"/>
        <v>No</v>
      </c>
      <c r="L14" s="1">
        <f>(Params!$B$2*Params!$C$2)/(1+(Params!$C$2-1)*Params!$A$2)</f>
        <v>41.53846153846154</v>
      </c>
      <c r="M14" s="1">
        <f t="shared" si="5"/>
        <v>-1.1391032753756261</v>
      </c>
      <c r="N14" s="1">
        <f t="shared" si="6"/>
        <v>0.25466008154405295</v>
      </c>
      <c r="O14" s="1" t="str">
        <f t="shared" si="7"/>
        <v>No</v>
      </c>
    </row>
    <row r="15" spans="1:15" x14ac:dyDescent="0.2">
      <c r="A15" t="s">
        <v>12</v>
      </c>
      <c r="B15" t="s">
        <v>14</v>
      </c>
      <c r="C15" s="1">
        <v>0.15830115830115829</v>
      </c>
      <c r="D15" s="1">
        <v>0.45370370370370372</v>
      </c>
      <c r="E15" s="1">
        <v>49</v>
      </c>
      <c r="F15" s="1">
        <v>108</v>
      </c>
      <c r="G15" s="1">
        <f t="shared" si="0"/>
        <v>8.4101879185666952</v>
      </c>
      <c r="H15" s="1">
        <f t="shared" si="1"/>
        <v>0</v>
      </c>
      <c r="I15" s="1">
        <f t="shared" si="2"/>
        <v>0.36301145512994509</v>
      </c>
      <c r="J15" s="1">
        <f t="shared" si="3"/>
        <v>0.54757637623155186</v>
      </c>
      <c r="K15" s="1" t="str">
        <f t="shared" si="4"/>
        <v>Yes</v>
      </c>
      <c r="L15" s="1">
        <f>(Params!$B$2*Params!$C$2)/(1+(Params!$C$2-1)*Params!$A$2)</f>
        <v>41.53846153846154</v>
      </c>
      <c r="M15" s="1">
        <f t="shared" si="5"/>
        <v>5.2157771316239376</v>
      </c>
      <c r="N15" s="1">
        <f t="shared" si="6"/>
        <v>1.8304815840863853E-7</v>
      </c>
      <c r="O15" s="1" t="str">
        <f t="shared" si="7"/>
        <v>Yes</v>
      </c>
    </row>
    <row r="16" spans="1:15" x14ac:dyDescent="0.2">
      <c r="A16" s="4" t="s">
        <v>6</v>
      </c>
      <c r="B16" s="4" t="s">
        <v>13</v>
      </c>
      <c r="C16" s="5">
        <v>0.1517094017094017</v>
      </c>
      <c r="D16" s="5">
        <v>0.22222222222222221</v>
      </c>
      <c r="E16" s="5">
        <v>24</v>
      </c>
      <c r="F16" s="5">
        <v>12</v>
      </c>
      <c r="G16" s="5">
        <f t="shared" si="0"/>
        <v>0.68089498450188435</v>
      </c>
      <c r="H16" s="5">
        <f t="shared" si="1"/>
        <v>0.49593794189740215</v>
      </c>
      <c r="I16" s="5">
        <f t="shared" si="2"/>
        <v>7.4058002779238047E-2</v>
      </c>
      <c r="J16" s="5">
        <f t="shared" si="3"/>
        <v>0.50510908472034111</v>
      </c>
      <c r="K16" s="5" t="str">
        <f t="shared" si="4"/>
        <v>No</v>
      </c>
      <c r="L16" s="5">
        <f>(Params!$B$2*Params!$C$2)/(1+(Params!$C$2-1)*Params!$A$2)</f>
        <v>41.53846153846154</v>
      </c>
      <c r="M16" s="5">
        <f t="shared" si="5"/>
        <v>1.2668194302872164</v>
      </c>
      <c r="N16" s="5">
        <f t="shared" si="6"/>
        <v>0.20521986283263205</v>
      </c>
      <c r="O16" s="5" t="str">
        <f t="shared" si="7"/>
        <v>No</v>
      </c>
    </row>
    <row r="17" spans="1:15" x14ac:dyDescent="0.2">
      <c r="B17" t="s">
        <v>14</v>
      </c>
      <c r="C17" s="1">
        <v>0.67735042735042739</v>
      </c>
      <c r="D17" s="1">
        <v>0.73148148148148151</v>
      </c>
      <c r="E17" s="1">
        <v>79</v>
      </c>
      <c r="F17" s="1">
        <v>12</v>
      </c>
      <c r="G17" s="1">
        <f t="shared" si="0"/>
        <v>0.40111126199211183</v>
      </c>
      <c r="H17" s="1">
        <f t="shared" si="1"/>
        <v>0.68833820961249881</v>
      </c>
      <c r="I17" s="1">
        <f t="shared" si="2"/>
        <v>0.44999802416021617</v>
      </c>
      <c r="J17" s="1">
        <f t="shared" si="3"/>
        <v>0.9006960695901346</v>
      </c>
      <c r="K17" s="1" t="str">
        <f t="shared" si="4"/>
        <v>No</v>
      </c>
      <c r="L17" s="1">
        <f>(Params!$B$2*Params!$C$2)/(1+(Params!$C$2-1)*Params!$A$2)</f>
        <v>41.53846153846154</v>
      </c>
      <c r="M17" s="1">
        <f t="shared" si="5"/>
        <v>0.7462759338290107</v>
      </c>
      <c r="N17" s="1">
        <f t="shared" si="6"/>
        <v>0.45550074620605741</v>
      </c>
      <c r="O17" s="1" t="str">
        <f t="shared" si="7"/>
        <v>No</v>
      </c>
    </row>
    <row r="18" spans="1:15" x14ac:dyDescent="0.2">
      <c r="A18" t="s">
        <v>7</v>
      </c>
      <c r="B18" t="s">
        <v>13</v>
      </c>
      <c r="C18" s="1">
        <v>0.56417910447761199</v>
      </c>
      <c r="D18" s="1">
        <v>0.21296296296296299</v>
      </c>
      <c r="E18" s="1">
        <v>23</v>
      </c>
      <c r="F18" s="1">
        <v>12</v>
      </c>
      <c r="G18" s="1">
        <f t="shared" si="0"/>
        <v>-2.4535932459169074</v>
      </c>
      <c r="H18" s="1">
        <f t="shared" si="1"/>
        <v>1.4143686467005701E-2</v>
      </c>
      <c r="I18" s="1">
        <f t="shared" si="2"/>
        <v>6.9284450726345301E-2</v>
      </c>
      <c r="J18" s="1">
        <f t="shared" si="3"/>
        <v>0.49585487302321979</v>
      </c>
      <c r="K18" s="1" t="str">
        <f t="shared" si="4"/>
        <v>Yes</v>
      </c>
      <c r="L18" s="1">
        <f>(Params!$B$2*Params!$C$2)/(1+(Params!$C$2-1)*Params!$A$2)</f>
        <v>41.53846153846154</v>
      </c>
      <c r="M18" s="1">
        <f t="shared" si="5"/>
        <v>-4.5649618057076715</v>
      </c>
      <c r="N18" s="1">
        <f t="shared" si="6"/>
        <v>4.9958528895999166E-6</v>
      </c>
      <c r="O18" s="1" t="str">
        <f t="shared" si="7"/>
        <v>Yes</v>
      </c>
    </row>
    <row r="19" spans="1:15" x14ac:dyDescent="0.2">
      <c r="A19" t="s">
        <v>7</v>
      </c>
      <c r="B19" t="s">
        <v>14</v>
      </c>
      <c r="C19" s="1">
        <v>0.19104477611940299</v>
      </c>
      <c r="D19" s="1">
        <v>0.66666666666666663</v>
      </c>
      <c r="E19" s="1">
        <v>72</v>
      </c>
      <c r="F19" s="1">
        <v>12</v>
      </c>
      <c r="G19" s="1">
        <f t="shared" si="0"/>
        <v>4.1910479773955691</v>
      </c>
      <c r="H19" s="1">
        <f t="shared" si="1"/>
        <v>2.7766893089031797E-5</v>
      </c>
      <c r="I19" s="1">
        <f t="shared" si="2"/>
        <v>0.39061758739761387</v>
      </c>
      <c r="J19" s="1">
        <f t="shared" si="3"/>
        <v>0.86188216010263863</v>
      </c>
      <c r="K19" s="1" t="str">
        <f t="shared" si="4"/>
        <v>Yes</v>
      </c>
      <c r="L19" s="1">
        <f>(Params!$B$2*Params!$C$2)/(1+(Params!$C$2-1)*Params!$A$2)</f>
        <v>41.53846153846154</v>
      </c>
      <c r="M19" s="1">
        <f t="shared" si="5"/>
        <v>7.7975328529034744</v>
      </c>
      <c r="N19" s="1">
        <f t="shared" si="6"/>
        <v>6.2172489379008766E-15</v>
      </c>
      <c r="O19" s="1" t="str">
        <f t="shared" si="7"/>
        <v>Yes</v>
      </c>
    </row>
    <row r="20" spans="1:15" x14ac:dyDescent="0.2">
      <c r="A20" t="s">
        <v>8</v>
      </c>
      <c r="B20" t="s">
        <v>13</v>
      </c>
      <c r="C20" s="1">
        <v>3.6764705882352941E-3</v>
      </c>
      <c r="D20" s="1">
        <v>0.12037037037037041</v>
      </c>
      <c r="E20" s="1">
        <v>13</v>
      </c>
      <c r="F20" s="1">
        <v>12</v>
      </c>
      <c r="G20" s="1">
        <f t="shared" si="0"/>
        <v>6.6791782735992626</v>
      </c>
      <c r="H20" s="1">
        <f t="shared" si="1"/>
        <v>2.4028556921962263E-11</v>
      </c>
      <c r="I20" s="1">
        <f t="shared" si="2"/>
        <v>2.7629769417593226E-2</v>
      </c>
      <c r="J20" s="1">
        <f t="shared" si="3"/>
        <v>0.39723191683183162</v>
      </c>
      <c r="K20" s="1" t="str">
        <f t="shared" si="4"/>
        <v>Yes</v>
      </c>
      <c r="L20" s="1">
        <f>(Params!$B$2*Params!$C$2)/(1+(Params!$C$2-1)*Params!$A$2)</f>
        <v>41.53846153846154</v>
      </c>
      <c r="M20" s="1">
        <f t="shared" si="5"/>
        <v>12.426751566598384</v>
      </c>
      <c r="N20" s="1">
        <f t="shared" si="6"/>
        <v>0</v>
      </c>
      <c r="O20" s="1" t="str">
        <f t="shared" si="7"/>
        <v>Yes</v>
      </c>
    </row>
    <row r="21" spans="1:15" x14ac:dyDescent="0.2">
      <c r="A21" t="s">
        <v>8</v>
      </c>
      <c r="B21" t="s">
        <v>14</v>
      </c>
      <c r="C21" s="1">
        <v>0.98897058823529416</v>
      </c>
      <c r="D21" s="1">
        <v>0.82407407407407407</v>
      </c>
      <c r="E21" s="1">
        <v>89</v>
      </c>
      <c r="F21" s="1">
        <v>12</v>
      </c>
      <c r="G21" s="1">
        <f t="shared" si="0"/>
        <v>-5.4693313436220663</v>
      </c>
      <c r="H21" s="1">
        <f t="shared" si="1"/>
        <v>4.517365481682134E-8</v>
      </c>
      <c r="I21" s="1">
        <f t="shared" si="2"/>
        <v>0.54218093455909377</v>
      </c>
      <c r="J21" s="1">
        <f t="shared" si="3"/>
        <v>0.9487907966913971</v>
      </c>
      <c r="K21" s="1" t="str">
        <f t="shared" si="4"/>
        <v>Yes</v>
      </c>
      <c r="L21" s="1">
        <f>(Params!$B$2*Params!$C$2)/(1+(Params!$C$2-1)*Params!$A$2)</f>
        <v>41.53846153846154</v>
      </c>
      <c r="M21" s="1">
        <f t="shared" si="5"/>
        <v>-10.175805923799029</v>
      </c>
      <c r="N21" s="1">
        <f t="shared" si="6"/>
        <v>0</v>
      </c>
      <c r="O21" s="1" t="str">
        <f t="shared" si="7"/>
        <v>Yes</v>
      </c>
    </row>
    <row r="22" spans="1:15" x14ac:dyDescent="0.2">
      <c r="A22" t="s">
        <v>9</v>
      </c>
      <c r="B22" t="s">
        <v>13</v>
      </c>
      <c r="C22" s="1">
        <v>3.9735099337748353E-2</v>
      </c>
      <c r="D22" s="1">
        <v>9.2592592592592587E-2</v>
      </c>
      <c r="E22" s="1">
        <v>10</v>
      </c>
      <c r="F22" s="1">
        <v>12</v>
      </c>
      <c r="G22" s="1">
        <f t="shared" si="0"/>
        <v>0.93737746152161883</v>
      </c>
      <c r="H22" s="1">
        <f t="shared" si="1"/>
        <v>0.34856443027082173</v>
      </c>
      <c r="I22" s="1">
        <f t="shared" si="2"/>
        <v>1.7793431853967943E-2</v>
      </c>
      <c r="J22" s="1">
        <f t="shared" si="3"/>
        <v>0.36498496314541484</v>
      </c>
      <c r="K22" s="1" t="str">
        <f t="shared" si="4"/>
        <v>No</v>
      </c>
      <c r="L22" s="1">
        <f>(Params!$B$2*Params!$C$2)/(1+(Params!$C$2-1)*Params!$A$2)</f>
        <v>41.53846153846154</v>
      </c>
      <c r="M22" s="1">
        <f t="shared" si="5"/>
        <v>1.7440104697460994</v>
      </c>
      <c r="N22" s="1">
        <f t="shared" si="6"/>
        <v>8.1157264214784197E-2</v>
      </c>
      <c r="O22" s="1" t="str">
        <f t="shared" si="7"/>
        <v>No</v>
      </c>
    </row>
    <row r="23" spans="1:15" x14ac:dyDescent="0.2">
      <c r="A23" t="s">
        <v>9</v>
      </c>
      <c r="B23" t="s">
        <v>14</v>
      </c>
      <c r="C23" s="1">
        <v>0.60927152317880795</v>
      </c>
      <c r="D23" s="1">
        <v>0.69444444444444442</v>
      </c>
      <c r="E23" s="1">
        <v>75</v>
      </c>
      <c r="F23" s="1">
        <v>12</v>
      </c>
      <c r="G23" s="1">
        <f t="shared" si="0"/>
        <v>0.60471284502247691</v>
      </c>
      <c r="H23" s="1">
        <f t="shared" si="1"/>
        <v>0.54536981183010358</v>
      </c>
      <c r="I23" s="1">
        <f t="shared" si="2"/>
        <v>0.41560215104252096</v>
      </c>
      <c r="J23" s="1">
        <f t="shared" si="3"/>
        <v>0.87898088770777361</v>
      </c>
      <c r="K23" s="1" t="str">
        <f t="shared" si="4"/>
        <v>No</v>
      </c>
      <c r="L23" s="1">
        <f>(Params!$B$2*Params!$C$2)/(1+(Params!$C$2-1)*Params!$A$2)</f>
        <v>41.53846153846154</v>
      </c>
      <c r="M23" s="1">
        <f t="shared" si="5"/>
        <v>1.1250809585257209</v>
      </c>
      <c r="N23" s="1">
        <f t="shared" si="6"/>
        <v>0.26055472939414126</v>
      </c>
      <c r="O23" s="1" t="str">
        <f t="shared" si="7"/>
        <v>No</v>
      </c>
    </row>
    <row r="24" spans="1:15" x14ac:dyDescent="0.2">
      <c r="A24" t="s">
        <v>10</v>
      </c>
      <c r="B24" t="s">
        <v>13</v>
      </c>
      <c r="C24" s="1">
        <f>1-0.000001</f>
        <v>0.99999899999999997</v>
      </c>
      <c r="D24" s="1">
        <v>0.42592592592592587</v>
      </c>
      <c r="E24" s="1">
        <v>46</v>
      </c>
      <c r="F24" s="1">
        <v>12</v>
      </c>
      <c r="G24" s="1">
        <f t="shared" si="0"/>
        <v>-1988.6484574029807</v>
      </c>
      <c r="H24" s="1">
        <f t="shared" si="1"/>
        <v>0</v>
      </c>
      <c r="I24" s="1">
        <f t="shared" si="2"/>
        <v>0.19972247428051573</v>
      </c>
      <c r="J24" s="1">
        <f t="shared" si="3"/>
        <v>0.6880554157193719</v>
      </c>
      <c r="K24" s="1" t="str">
        <f t="shared" si="4"/>
        <v>Yes</v>
      </c>
      <c r="L24" s="1">
        <f>(Params!$B$2*Params!$C$2)/(1+(Params!$C$2-1)*Params!$A$2)</f>
        <v>41.53846153846154</v>
      </c>
      <c r="M24" s="1">
        <f t="shared" si="5"/>
        <v>-3699.922254078263</v>
      </c>
      <c r="N24" s="1">
        <f t="shared" si="6"/>
        <v>0</v>
      </c>
      <c r="O24" s="1" t="str">
        <f t="shared" si="7"/>
        <v>Yes</v>
      </c>
    </row>
    <row r="25" spans="1:15" x14ac:dyDescent="0.2">
      <c r="A25" t="s">
        <v>10</v>
      </c>
      <c r="B25" t="s">
        <v>14</v>
      </c>
      <c r="C25" s="1">
        <v>9.9999999999999995E-7</v>
      </c>
      <c r="D25" s="1">
        <v>0.55555555555555558</v>
      </c>
      <c r="E25" s="1">
        <v>60</v>
      </c>
      <c r="F25" s="1">
        <v>12</v>
      </c>
      <c r="G25" s="1">
        <f t="shared" si="0"/>
        <v>1924.4983954465756</v>
      </c>
      <c r="H25" s="1">
        <f t="shared" si="1"/>
        <v>0</v>
      </c>
      <c r="I25" s="1">
        <f t="shared" si="2"/>
        <v>0.2970154799156195</v>
      </c>
      <c r="J25" s="1">
        <f t="shared" si="3"/>
        <v>0.78715110258446463</v>
      </c>
      <c r="K25" s="1" t="str">
        <f t="shared" si="4"/>
        <v>Yes</v>
      </c>
      <c r="L25" s="1">
        <f>(Params!$B$2*Params!$C$2)/(1+(Params!$C$2-1)*Params!$A$2)</f>
        <v>41.53846153846154</v>
      </c>
      <c r="M25" s="1">
        <f t="shared" si="5"/>
        <v>3580.5697154486033</v>
      </c>
      <c r="N25" s="1">
        <f t="shared" si="6"/>
        <v>0</v>
      </c>
      <c r="O25" s="1" t="str">
        <f t="shared" si="7"/>
        <v>Yes</v>
      </c>
    </row>
    <row r="26" spans="1:15" x14ac:dyDescent="0.2">
      <c r="A26" t="s">
        <v>11</v>
      </c>
      <c r="B26" t="s">
        <v>13</v>
      </c>
      <c r="C26" s="1">
        <v>0.69918699186991873</v>
      </c>
      <c r="D26" s="1">
        <v>0.46296296296296302</v>
      </c>
      <c r="E26" s="1">
        <v>50</v>
      </c>
      <c r="F26" s="1">
        <v>12</v>
      </c>
      <c r="G26" s="1">
        <f t="shared" si="0"/>
        <v>-1.78430757465265</v>
      </c>
      <c r="H26" s="1">
        <f t="shared" si="1"/>
        <v>7.4373700091555417E-2</v>
      </c>
      <c r="I26" s="1">
        <f t="shared" si="2"/>
        <v>0.22623487076043214</v>
      </c>
      <c r="J26" s="1">
        <f t="shared" si="3"/>
        <v>0.71765407423951177</v>
      </c>
      <c r="K26" s="1" t="str">
        <f t="shared" si="4"/>
        <v>No</v>
      </c>
      <c r="L26" s="1">
        <f>(Params!$B$2*Params!$C$2)/(1+(Params!$C$2-1)*Params!$A$2)</f>
        <v>41.53846153846154</v>
      </c>
      <c r="M26" s="1">
        <f t="shared" si="5"/>
        <v>-3.3197417467133361</v>
      </c>
      <c r="N26" s="1">
        <f t="shared" si="6"/>
        <v>9.010075643540727E-4</v>
      </c>
      <c r="O26" s="1" t="str">
        <f t="shared" si="7"/>
        <v>Yes</v>
      </c>
    </row>
    <row r="27" spans="1:15" x14ac:dyDescent="0.2">
      <c r="A27" t="s">
        <v>11</v>
      </c>
      <c r="B27" t="s">
        <v>14</v>
      </c>
      <c r="C27" s="1">
        <v>0.23983739837398371</v>
      </c>
      <c r="D27" s="1">
        <v>0.5</v>
      </c>
      <c r="E27" s="1">
        <v>54</v>
      </c>
      <c r="F27" s="1">
        <v>12</v>
      </c>
      <c r="G27" s="1">
        <f t="shared" si="0"/>
        <v>2.110686769855326</v>
      </c>
      <c r="H27" s="1">
        <f t="shared" si="1"/>
        <v>3.4799243910712985E-2</v>
      </c>
      <c r="I27" s="1">
        <f t="shared" si="2"/>
        <v>0.25377817039342221</v>
      </c>
      <c r="J27" s="1">
        <f t="shared" si="3"/>
        <v>0.74622182960657779</v>
      </c>
      <c r="K27" s="1" t="str">
        <f t="shared" si="4"/>
        <v>Yes</v>
      </c>
      <c r="L27" s="1">
        <f>(Params!$B$2*Params!$C$2)/(1+(Params!$C$2-1)*Params!$A$2)</f>
        <v>41.53846153846154</v>
      </c>
      <c r="M27" s="1">
        <f t="shared" si="5"/>
        <v>3.9269770994993864</v>
      </c>
      <c r="N27" s="1">
        <f t="shared" si="6"/>
        <v>8.6020167801237335E-5</v>
      </c>
      <c r="O27" s="1" t="str">
        <f t="shared" si="7"/>
        <v>Yes</v>
      </c>
    </row>
    <row r="28" spans="1:15" x14ac:dyDescent="0.2">
      <c r="A28" t="s">
        <v>12</v>
      </c>
      <c r="B28" t="s">
        <v>13</v>
      </c>
      <c r="C28" s="1">
        <v>0.48648648648648651</v>
      </c>
      <c r="D28" s="1">
        <v>0.39814814814814808</v>
      </c>
      <c r="E28" s="1">
        <v>43</v>
      </c>
      <c r="F28" s="1">
        <v>12</v>
      </c>
      <c r="G28" s="1">
        <f t="shared" si="0"/>
        <v>-0.61224961386729315</v>
      </c>
      <c r="H28" s="1">
        <f t="shared" si="1"/>
        <v>0.54037262056018687</v>
      </c>
      <c r="I28" s="1">
        <f t="shared" si="2"/>
        <v>0.18052605978887709</v>
      </c>
      <c r="J28" s="1">
        <f t="shared" si="3"/>
        <v>0.66516853896096839</v>
      </c>
      <c r="K28" s="1" t="str">
        <f t="shared" si="4"/>
        <v>No</v>
      </c>
      <c r="L28" s="1">
        <f>(Params!$B$2*Params!$C$2)/(1+(Params!$C$2-1)*Params!$A$2)</f>
        <v>41.53846153846154</v>
      </c>
      <c r="M28" s="1">
        <f t="shared" si="5"/>
        <v>-1.1391032753756261</v>
      </c>
      <c r="N28" s="1">
        <f t="shared" si="6"/>
        <v>0.25466008154405295</v>
      </c>
      <c r="O28" s="1" t="str">
        <f t="shared" si="7"/>
        <v>No</v>
      </c>
    </row>
    <row r="29" spans="1:15" x14ac:dyDescent="0.2">
      <c r="A29" t="s">
        <v>12</v>
      </c>
      <c r="B29" t="s">
        <v>14</v>
      </c>
      <c r="C29" s="1">
        <v>0.15830115830115829</v>
      </c>
      <c r="D29" s="1">
        <v>0.45370370370370372</v>
      </c>
      <c r="E29" s="1">
        <v>49</v>
      </c>
      <c r="F29" s="1">
        <v>12</v>
      </c>
      <c r="G29" s="1">
        <f t="shared" si="0"/>
        <v>2.8033959728555655</v>
      </c>
      <c r="H29" s="1">
        <f t="shared" si="1"/>
        <v>5.0567542385668851E-3</v>
      </c>
      <c r="I29" s="1">
        <f t="shared" si="2"/>
        <v>0.21950958687556765</v>
      </c>
      <c r="J29" s="1">
        <f t="shared" si="3"/>
        <v>0.71035159437436224</v>
      </c>
      <c r="K29" s="1" t="str">
        <f t="shared" si="4"/>
        <v>Yes</v>
      </c>
      <c r="L29" s="1">
        <f>(Params!$B$2*Params!$C$2)/(1+(Params!$C$2-1)*Params!$A$2)</f>
        <v>41.53846153846154</v>
      </c>
      <c r="M29" s="1">
        <f t="shared" si="5"/>
        <v>5.2157771316239376</v>
      </c>
      <c r="N29" s="1">
        <f t="shared" si="6"/>
        <v>1.8304815840863853E-7</v>
      </c>
      <c r="O29" s="1" t="str">
        <f t="shared" si="7"/>
        <v>Yes</v>
      </c>
    </row>
  </sheetData>
  <sortState xmlns:xlrd2="http://schemas.microsoft.com/office/spreadsheetml/2017/richdata2" ref="A2:O29">
    <sortCondition descending="1" ref="F1:F29"/>
  </sortState>
  <conditionalFormatting sqref="A1:XFD16 B17:XFD17 A18:XFD1048576">
    <cfRule type="cellIs" dxfId="1" priority="1" operator="equal">
      <formula>"No"</formula>
    </cfRule>
  </conditionalFormatting>
  <conditionalFormatting sqref="K1:K29">
    <cfRule type="cellIs" dxfId="0" priority="2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>
        <v>0.2</v>
      </c>
      <c r="B2">
        <v>12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2025-09-18T10:14:32Z</dcterms:created>
  <dcterms:modified xsi:type="dcterms:W3CDTF">2026-04-21T18:44:21Z</dcterms:modified>
</cp:coreProperties>
</file>