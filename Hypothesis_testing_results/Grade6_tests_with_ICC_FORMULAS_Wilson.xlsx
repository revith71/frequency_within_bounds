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thi2revithiadou/Desktop/Lg&amp;Sp_reviews/article/revision/Suplemental_materials/Appendix_Hypothesis_testing_results/"/>
    </mc:Choice>
  </mc:AlternateContent>
  <xr:revisionPtr revIDLastSave="0" documentId="13_ncr:1_{9136F2F7-641F-2844-A8A7-3CEF735A125A}" xr6:coauthVersionLast="47" xr6:coauthVersionMax="47" xr10:uidLastSave="{00000000-0000-0000-0000-000000000000}"/>
  <bookViews>
    <workbookView xWindow="3000" yWindow="2060" windowWidth="23400" windowHeight="12680" xr2:uid="{00000000-000D-0000-FFFF-FFFF00000000}"/>
  </bookViews>
  <sheets>
    <sheet name="Tests" sheetId="1" r:id="rId1"/>
    <sheet name="Param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24" i="1"/>
  <c r="J15" i="1" l="1"/>
  <c r="J29" i="1"/>
  <c r="J14" i="1"/>
  <c r="J28" i="1"/>
  <c r="J13" i="1"/>
  <c r="J27" i="1"/>
  <c r="J12" i="1"/>
  <c r="J26" i="1"/>
  <c r="J11" i="1"/>
  <c r="J25" i="1"/>
  <c r="J10" i="1"/>
  <c r="J24" i="1"/>
  <c r="J9" i="1"/>
  <c r="J23" i="1"/>
  <c r="J8" i="1"/>
  <c r="J22" i="1"/>
  <c r="J7" i="1"/>
  <c r="J21" i="1"/>
  <c r="J6" i="1"/>
  <c r="J20" i="1"/>
  <c r="J5" i="1"/>
  <c r="J19" i="1"/>
  <c r="J4" i="1"/>
  <c r="J18" i="1"/>
  <c r="J3" i="1"/>
  <c r="J17" i="1"/>
  <c r="J2" i="1"/>
  <c r="J16" i="1"/>
  <c r="I15" i="1"/>
  <c r="I29" i="1"/>
  <c r="I14" i="1"/>
  <c r="I28" i="1"/>
  <c r="I13" i="1"/>
  <c r="I27" i="1"/>
  <c r="I12" i="1"/>
  <c r="I26" i="1"/>
  <c r="I11" i="1"/>
  <c r="I25" i="1"/>
  <c r="I10" i="1"/>
  <c r="I24" i="1"/>
  <c r="I9" i="1"/>
  <c r="I23" i="1"/>
  <c r="I8" i="1"/>
  <c r="I22" i="1"/>
  <c r="I7" i="1"/>
  <c r="I21" i="1"/>
  <c r="I6" i="1"/>
  <c r="I20" i="1"/>
  <c r="I5" i="1"/>
  <c r="I19" i="1"/>
  <c r="I4" i="1"/>
  <c r="I18" i="1"/>
  <c r="I3" i="1"/>
  <c r="I17" i="1"/>
  <c r="I2" i="1"/>
  <c r="I16" i="1"/>
  <c r="H28" i="1"/>
  <c r="K28" i="1" s="1"/>
  <c r="L15" i="1"/>
  <c r="G15" i="1"/>
  <c r="L29" i="1"/>
  <c r="G29" i="1"/>
  <c r="L14" i="1"/>
  <c r="G14" i="1"/>
  <c r="H14" i="1" s="1"/>
  <c r="K14" i="1" s="1"/>
  <c r="L28" i="1"/>
  <c r="Q28" i="1" s="1"/>
  <c r="G28" i="1"/>
  <c r="L13" i="1"/>
  <c r="Q13" i="1" s="1"/>
  <c r="G13" i="1"/>
  <c r="L27" i="1"/>
  <c r="G27" i="1"/>
  <c r="L12" i="1"/>
  <c r="G12" i="1"/>
  <c r="H12" i="1" s="1"/>
  <c r="L26" i="1"/>
  <c r="G26" i="1"/>
  <c r="H26" i="1" s="1"/>
  <c r="K26" i="1" s="1"/>
  <c r="L11" i="1"/>
  <c r="Q11" i="1" s="1"/>
  <c r="L25" i="1"/>
  <c r="P25" i="1" s="1"/>
  <c r="G25" i="1"/>
  <c r="L10" i="1"/>
  <c r="G10" i="1"/>
  <c r="H10" i="1" s="1"/>
  <c r="L24" i="1"/>
  <c r="Q24" i="1" s="1"/>
  <c r="G24" i="1"/>
  <c r="H24" i="1" s="1"/>
  <c r="K24" i="1" s="1"/>
  <c r="L9" i="1"/>
  <c r="Q9" i="1" s="1"/>
  <c r="G9" i="1"/>
  <c r="L23" i="1"/>
  <c r="P23" i="1" s="1"/>
  <c r="G23" i="1"/>
  <c r="L8" i="1"/>
  <c r="G8" i="1"/>
  <c r="H8" i="1" s="1"/>
  <c r="K8" i="1" s="1"/>
  <c r="L22" i="1"/>
  <c r="G22" i="1"/>
  <c r="H22" i="1" s="1"/>
  <c r="K22" i="1" s="1"/>
  <c r="M7" i="1"/>
  <c r="L7" i="1"/>
  <c r="Q7" i="1" s="1"/>
  <c r="G7" i="1"/>
  <c r="L21" i="1"/>
  <c r="G21" i="1"/>
  <c r="H21" i="1" s="1"/>
  <c r="L6" i="1"/>
  <c r="G6" i="1"/>
  <c r="L20" i="1"/>
  <c r="G20" i="1"/>
  <c r="H20" i="1" s="1"/>
  <c r="K20" i="1" s="1"/>
  <c r="L5" i="1"/>
  <c r="Q5" i="1" s="1"/>
  <c r="G5" i="1"/>
  <c r="L19" i="1"/>
  <c r="G19" i="1"/>
  <c r="L4" i="1"/>
  <c r="G4" i="1"/>
  <c r="H4" i="1" s="1"/>
  <c r="L18" i="1"/>
  <c r="Q18" i="1" s="1"/>
  <c r="G18" i="1"/>
  <c r="H18" i="1" s="1"/>
  <c r="K18" i="1" s="1"/>
  <c r="L3" i="1"/>
  <c r="Q3" i="1" s="1"/>
  <c r="G3" i="1"/>
  <c r="L17" i="1"/>
  <c r="G17" i="1"/>
  <c r="H17" i="1" s="1"/>
  <c r="K17" i="1" s="1"/>
  <c r="L2" i="1"/>
  <c r="G2" i="1"/>
  <c r="H2" i="1" s="1"/>
  <c r="K2" i="1" s="1"/>
  <c r="L16" i="1"/>
  <c r="G16" i="1"/>
  <c r="H16" i="1" s="1"/>
  <c r="K16" i="1" s="1"/>
  <c r="M26" i="1" l="1"/>
  <c r="N26" i="1" s="1"/>
  <c r="Q26" i="1"/>
  <c r="P18" i="1"/>
  <c r="M2" i="1"/>
  <c r="Q2" i="1"/>
  <c r="M22" i="1"/>
  <c r="N22" i="1" s="1"/>
  <c r="O22" i="1" s="1"/>
  <c r="Q22" i="1"/>
  <c r="M28" i="1"/>
  <c r="N28" i="1" s="1"/>
  <c r="O28" i="1" s="1"/>
  <c r="P22" i="1"/>
  <c r="M12" i="1"/>
  <c r="Q12" i="1"/>
  <c r="M17" i="1"/>
  <c r="Q17" i="1"/>
  <c r="P24" i="1"/>
  <c r="M8" i="1"/>
  <c r="N8" i="1" s="1"/>
  <c r="O8" i="1" s="1"/>
  <c r="Q8" i="1"/>
  <c r="M10" i="1"/>
  <c r="Q10" i="1"/>
  <c r="M14" i="1"/>
  <c r="N14" i="1" s="1"/>
  <c r="Q14" i="1"/>
  <c r="M19" i="1"/>
  <c r="N19" i="1" s="1"/>
  <c r="O19" i="1" s="1"/>
  <c r="Q19" i="1"/>
  <c r="M21" i="1"/>
  <c r="N21" i="1" s="1"/>
  <c r="O21" i="1" s="1"/>
  <c r="Q21" i="1"/>
  <c r="M27" i="1"/>
  <c r="Q27" i="1"/>
  <c r="P26" i="1"/>
  <c r="M16" i="1"/>
  <c r="N16" i="1" s="1"/>
  <c r="O16" i="1" s="1"/>
  <c r="Q16" i="1"/>
  <c r="P16" i="1"/>
  <c r="M18" i="1"/>
  <c r="N18" i="1" s="1"/>
  <c r="O18" i="1" s="1"/>
  <c r="M20" i="1"/>
  <c r="Q20" i="1"/>
  <c r="M4" i="1"/>
  <c r="Q4" i="1"/>
  <c r="M6" i="1"/>
  <c r="N6" i="1" s="1"/>
  <c r="O6" i="1" s="1"/>
  <c r="Q6" i="1"/>
  <c r="M23" i="1"/>
  <c r="N23" i="1" s="1"/>
  <c r="O23" i="1" s="1"/>
  <c r="Q23" i="1"/>
  <c r="M25" i="1"/>
  <c r="Q25" i="1"/>
  <c r="M29" i="1"/>
  <c r="Q29" i="1"/>
  <c r="P27" i="1"/>
  <c r="M15" i="1"/>
  <c r="N15" i="1" s="1"/>
  <c r="O15" i="1" s="1"/>
  <c r="Q15" i="1"/>
  <c r="P17" i="1"/>
  <c r="P28" i="1"/>
  <c r="P29" i="1"/>
  <c r="M3" i="1"/>
  <c r="M9" i="1"/>
  <c r="M13" i="1"/>
  <c r="N13" i="1" s="1"/>
  <c r="O13" i="1" s="1"/>
  <c r="P19" i="1"/>
  <c r="P20" i="1"/>
  <c r="P21" i="1"/>
  <c r="M5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M11" i="1"/>
  <c r="N11" i="1" s="1"/>
  <c r="O11" i="1" s="1"/>
  <c r="N20" i="1"/>
  <c r="O20" i="1" s="1"/>
  <c r="N12" i="1"/>
  <c r="O12" i="1" s="1"/>
  <c r="O26" i="1"/>
  <c r="H19" i="1"/>
  <c r="K19" i="1" s="1"/>
  <c r="H23" i="1"/>
  <c r="K23" i="1" s="1"/>
  <c r="H27" i="1"/>
  <c r="K27" i="1" s="1"/>
  <c r="H29" i="1"/>
  <c r="K29" i="1" s="1"/>
  <c r="N17" i="1"/>
  <c r="O17" i="1" s="1"/>
  <c r="N27" i="1"/>
  <c r="O27" i="1" s="1"/>
  <c r="N29" i="1"/>
  <c r="O29" i="1" s="1"/>
  <c r="H6" i="1"/>
  <c r="K6" i="1" s="1"/>
  <c r="N2" i="1"/>
  <c r="O2" i="1" s="1"/>
  <c r="N4" i="1"/>
  <c r="O4" i="1" s="1"/>
  <c r="K21" i="1"/>
  <c r="K12" i="1"/>
  <c r="K13" i="1"/>
  <c r="O14" i="1"/>
  <c r="H3" i="1"/>
  <c r="K3" i="1" s="1"/>
  <c r="H5" i="1"/>
  <c r="K5" i="1" s="1"/>
  <c r="H7" i="1"/>
  <c r="K7" i="1" s="1"/>
  <c r="H9" i="1"/>
  <c r="K9" i="1" s="1"/>
  <c r="H13" i="1"/>
  <c r="H15" i="1"/>
  <c r="K15" i="1" s="1"/>
  <c r="N3" i="1"/>
  <c r="O3" i="1" s="1"/>
  <c r="N5" i="1"/>
  <c r="O5" i="1" s="1"/>
  <c r="N7" i="1"/>
  <c r="O7" i="1" s="1"/>
  <c r="N9" i="1"/>
  <c r="O9" i="1" s="1"/>
  <c r="G11" i="1"/>
  <c r="H25" i="1"/>
  <c r="K25" i="1" s="1"/>
  <c r="N25" i="1"/>
  <c r="O25" i="1" s="1"/>
  <c r="N10" i="1"/>
  <c r="O10" i="1" s="1"/>
  <c r="M24" i="1"/>
  <c r="N24" i="1" s="1"/>
  <c r="O24" i="1" s="1"/>
  <c r="K4" i="1"/>
  <c r="K10" i="1"/>
  <c r="H11" i="1" l="1"/>
  <c r="K11" i="1" s="1"/>
</calcChain>
</file>

<file path=xl/sharedStrings.xml><?xml version="1.0" encoding="utf-8"?>
<sst xmlns="http://schemas.openxmlformats.org/spreadsheetml/2006/main" count="92" uniqueCount="39">
  <si>
    <t>Class</t>
  </si>
  <si>
    <t>Property</t>
  </si>
  <si>
    <t>Lexicon_p0</t>
  </si>
  <si>
    <t>Experimental_phat</t>
  </si>
  <si>
    <t>Raw_successes</t>
  </si>
  <si>
    <t>n_case</t>
  </si>
  <si>
    <t>aF</t>
  </si>
  <si>
    <t>iF</t>
  </si>
  <si>
    <t>iN</t>
  </si>
  <si>
    <t>isM</t>
  </si>
  <si>
    <t>maN</t>
  </si>
  <si>
    <t>oN</t>
  </si>
  <si>
    <t>osM</t>
  </si>
  <si>
    <t>APU</t>
  </si>
  <si>
    <t>PU</t>
  </si>
  <si>
    <t>rho</t>
  </si>
  <si>
    <t>n_participants</t>
  </si>
  <si>
    <t>m_items</t>
  </si>
  <si>
    <t>Z</t>
  </si>
  <si>
    <t>p_value_2s</t>
  </si>
  <si>
    <t>Signif_0.05</t>
  </si>
  <si>
    <t>ICC_Neff_rho</t>
  </si>
  <si>
    <t>ICC_Z</t>
  </si>
  <si>
    <t>ICC_p_value_2s</t>
  </si>
  <si>
    <t>ICC_Signif_0.05</t>
  </si>
  <si>
    <t>CI_low(Wilson)</t>
  </si>
  <si>
    <t>CI_high(Wilson)</t>
  </si>
  <si>
    <t>ICC_CI_low (Wilson)</t>
  </si>
  <si>
    <t>ICC_CI_high(Wilson)</t>
  </si>
  <si>
    <t>p value</t>
  </si>
  <si>
    <t>CI_low</t>
  </si>
  <si>
    <t>Confidence Interval low</t>
  </si>
  <si>
    <t>CI_high</t>
  </si>
  <si>
    <t>Confidence Interval high</t>
  </si>
  <si>
    <t>Significance level 0.05</t>
  </si>
  <si>
    <t>ICC neff ρ</t>
  </si>
  <si>
    <t>ICC Z score</t>
  </si>
  <si>
    <t>ICC p value</t>
  </si>
  <si>
    <t>ICC Significance level 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</si>
</sst>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0" xfId="0" applyNumberFormat="1" applyFont="1"/>
    <xf numFmtId="0" fontId="1" fillId="0" borderId="0" xfId="0" applyFont="1"/>
    <xf numFmtId="0" fontId="0" fillId="0" borderId="2" xfId="0" applyBorder="1"/>
    <xf numFmtId="164" fontId="0" fillId="0" borderId="2" xfId="0" applyNumberFormat="1" applyBorder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" fontId="0" fillId="0" borderId="2" xfId="0" applyNumberFormat="1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workbookViewId="0">
      <selection activeCell="E2" sqref="E2:E29"/>
    </sheetView>
  </sheetViews>
  <sheetFormatPr baseColWidth="10" defaultColWidth="8.83203125" defaultRowHeight="15" x14ac:dyDescent="0.2"/>
  <cols>
    <col min="3" max="5" width="12.6640625" style="1" customWidth="1"/>
    <col min="6" max="6" width="12.6640625" style="8" customWidth="1"/>
    <col min="7" max="15" width="14.6640625" style="1" customWidth="1"/>
    <col min="16" max="16" width="19.33203125" bestFit="1" customWidth="1"/>
    <col min="17" max="17" width="19.5" bestFit="1" customWidth="1"/>
  </cols>
  <sheetData>
    <row r="1" spans="1:17" s="4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5</v>
      </c>
      <c r="G1" s="3" t="s">
        <v>18</v>
      </c>
      <c r="H1" s="3" t="s">
        <v>19</v>
      </c>
      <c r="I1" s="3" t="s">
        <v>25</v>
      </c>
      <c r="J1" s="3" t="s">
        <v>26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27</v>
      </c>
      <c r="Q1" s="3" t="s">
        <v>28</v>
      </c>
    </row>
    <row r="2" spans="1:17" x14ac:dyDescent="0.2">
      <c r="A2" t="s">
        <v>6</v>
      </c>
      <c r="B2" t="s">
        <v>13</v>
      </c>
      <c r="C2" s="1">
        <v>0.15449915110356541</v>
      </c>
      <c r="D2" s="1">
        <v>0.1764705882352941</v>
      </c>
      <c r="E2" s="8">
        <v>27</v>
      </c>
      <c r="F2" s="8">
        <v>153</v>
      </c>
      <c r="G2" s="1">
        <f t="shared" ref="G2:G29" si="0">(D2-C2)/SQRT(C2*(1-C2)/F2)</f>
        <v>0.75194159161136587</v>
      </c>
      <c r="H2" s="1">
        <f t="shared" ref="H2:H29" si="1">2*(1-_xlfn.NORM.S.DIST(ABS(G2),TRUE))</f>
        <v>0.45208618466618766</v>
      </c>
      <c r="I2" s="1">
        <f t="shared" ref="I2:I29" si="2">(D2+1.96^2/(2*F2)-1.96*SQRT(D2*(1-D2)/F2+1.96^2/(4*F2^2)))/(1+1.96^2/F2)</f>
        <v>0.12420853888153774</v>
      </c>
      <c r="J2" s="1">
        <f t="shared" ref="J2:J29" si="3">(D2 + 1.96^2/(2*F2) + 1.96*SQRT(D2*(1-D2)/F2 + 1.96^2/(4*F2^2)))/(1 + 1.96^2/F2)</f>
        <v>0.24458137399871849</v>
      </c>
      <c r="K2" s="1" t="str">
        <f t="shared" ref="K2:K29" si="4">IF(H2&lt;0.05,"Yes","No")</f>
        <v>No</v>
      </c>
      <c r="L2" s="1">
        <f>(Params!$B$2*Params!$C$2)/(1+(Params!$C$2-1)*Params!$A$2)</f>
        <v>58.846153846153847</v>
      </c>
      <c r="M2" s="1">
        <f t="shared" ref="M2:M29" si="5">(D2-C2)/SQRT(C2*(1-C2)/L2)</f>
        <v>0.46633437871051375</v>
      </c>
      <c r="N2" s="1">
        <f t="shared" ref="N2:N29" si="6">2*(1-_xlfn.NORM.S.DIST(ABS(M2),TRUE))</f>
        <v>0.64097617448351918</v>
      </c>
      <c r="O2" s="1" t="str">
        <f t="shared" ref="O2:O29" si="7">IF(N2&lt;0.05,"Yes","No")</f>
        <v>No</v>
      </c>
      <c r="P2">
        <f t="shared" ref="P2:P29" si="8">(D2 + 1.96^2/(2*L2) - 1.96*SQRT(D2*(1-D2)/L2 + 1.96^2/(4*L2^2)))/(1 + 1.96^2/L2)</f>
        <v>9.9865387284770707E-2</v>
      </c>
      <c r="Q2">
        <f t="shared" ref="Q2:Q29" si="9">(D2 + 1.96^2/(2*L2) + 1.96*SQRT(D2*(1-D2)/L2 + 1.96^2/(4*L2^2)))/(1 + 1.96^2/L2)</f>
        <v>0.29272852873955885</v>
      </c>
    </row>
    <row r="3" spans="1:17" x14ac:dyDescent="0.2">
      <c r="A3" t="s">
        <v>6</v>
      </c>
      <c r="B3" t="s">
        <v>14</v>
      </c>
      <c r="C3" s="1">
        <v>0.69439728353140917</v>
      </c>
      <c r="D3" s="1">
        <v>0.80392156862745101</v>
      </c>
      <c r="E3" s="8">
        <v>123</v>
      </c>
      <c r="F3" s="8">
        <v>153</v>
      </c>
      <c r="G3" s="1">
        <f t="shared" si="0"/>
        <v>2.9408544496677211</v>
      </c>
      <c r="H3" s="1">
        <f t="shared" si="1"/>
        <v>3.2730829097129543E-3</v>
      </c>
      <c r="I3" s="1">
        <f t="shared" si="2"/>
        <v>0.73389658545248071</v>
      </c>
      <c r="J3" s="1">
        <f t="shared" si="3"/>
        <v>0.85905834487212707</v>
      </c>
      <c r="K3" s="1" t="str">
        <f t="shared" si="4"/>
        <v>Yes</v>
      </c>
      <c r="L3" s="1">
        <f>(Params!$B$2*Params!$C$2)/(1+(Params!$C$2-1)*Params!$A$2)</f>
        <v>58.846153846153847</v>
      </c>
      <c r="M3" s="1">
        <f t="shared" si="5"/>
        <v>1.8238405056501426</v>
      </c>
      <c r="N3" s="1">
        <f t="shared" si="6"/>
        <v>6.8176188216902966E-2</v>
      </c>
      <c r="O3" s="1" t="str">
        <f t="shared" si="7"/>
        <v>No</v>
      </c>
      <c r="P3">
        <f t="shared" si="8"/>
        <v>0.68526285797502373</v>
      </c>
      <c r="Q3">
        <f t="shared" si="9"/>
        <v>0.88533073606272727</v>
      </c>
    </row>
    <row r="4" spans="1:17" x14ac:dyDescent="0.2">
      <c r="A4" t="s">
        <v>7</v>
      </c>
      <c r="B4" t="s">
        <v>13</v>
      </c>
      <c r="C4" s="1">
        <v>0.58472553699284013</v>
      </c>
      <c r="D4" s="1">
        <v>0.1372549019607843</v>
      </c>
      <c r="E4" s="8">
        <v>21</v>
      </c>
      <c r="F4" s="8">
        <v>153</v>
      </c>
      <c r="G4" s="1">
        <f t="shared" si="0"/>
        <v>-11.232246151919439</v>
      </c>
      <c r="H4" s="1">
        <f t="shared" si="1"/>
        <v>0</v>
      </c>
      <c r="I4" s="1">
        <f t="shared" si="2"/>
        <v>9.1556251241278308E-2</v>
      </c>
      <c r="J4" s="1">
        <f t="shared" si="3"/>
        <v>0.20072334804870598</v>
      </c>
      <c r="K4" s="1" t="str">
        <f t="shared" si="4"/>
        <v>Yes</v>
      </c>
      <c r="L4" s="1">
        <f>(Params!$B$2*Params!$C$2)/(1+(Params!$C$2-1)*Params!$A$2)</f>
        <v>58.846153846153847</v>
      </c>
      <c r="M4" s="1">
        <f t="shared" si="5"/>
        <v>-6.9659433514699289</v>
      </c>
      <c r="N4" s="1">
        <f t="shared" si="6"/>
        <v>3.2620572909536349E-12</v>
      </c>
      <c r="O4" s="1" t="str">
        <f t="shared" si="7"/>
        <v>Yes</v>
      </c>
      <c r="P4">
        <f t="shared" si="8"/>
        <v>7.1445476052756474E-2</v>
      </c>
      <c r="Q4">
        <f t="shared" si="9"/>
        <v>0.24752346009573428</v>
      </c>
    </row>
    <row r="5" spans="1:17" x14ac:dyDescent="0.2">
      <c r="A5" t="s">
        <v>7</v>
      </c>
      <c r="B5" t="s">
        <v>14</v>
      </c>
      <c r="C5" s="1">
        <v>0.18377088305489259</v>
      </c>
      <c r="D5" s="1">
        <v>0.75163398692810457</v>
      </c>
      <c r="E5" s="8">
        <v>115</v>
      </c>
      <c r="F5" s="8">
        <v>153</v>
      </c>
      <c r="G5" s="1">
        <f t="shared" si="0"/>
        <v>18.13614480452582</v>
      </c>
      <c r="H5" s="1">
        <f t="shared" si="1"/>
        <v>0</v>
      </c>
      <c r="I5" s="1">
        <f t="shared" si="2"/>
        <v>0.67757034926237092</v>
      </c>
      <c r="J5" s="1">
        <f t="shared" si="3"/>
        <v>0.8133708296085409</v>
      </c>
      <c r="K5" s="1" t="str">
        <f t="shared" si="4"/>
        <v>Yes</v>
      </c>
      <c r="L5" s="1">
        <f>(Params!$B$2*Params!$C$2)/(1+(Params!$C$2-1)*Params!$A$2)</f>
        <v>58.846153846153847</v>
      </c>
      <c r="M5" s="1">
        <f t="shared" si="5"/>
        <v>11.24755953650406</v>
      </c>
      <c r="N5" s="1">
        <f t="shared" si="6"/>
        <v>0</v>
      </c>
      <c r="O5" s="1" t="str">
        <f t="shared" si="7"/>
        <v>Yes</v>
      </c>
      <c r="P5">
        <f t="shared" si="8"/>
        <v>0.62814940166037891</v>
      </c>
      <c r="Q5">
        <f t="shared" si="9"/>
        <v>0.84427755254292025</v>
      </c>
    </row>
    <row r="6" spans="1:17" x14ac:dyDescent="0.2">
      <c r="A6" t="s">
        <v>8</v>
      </c>
      <c r="B6" t="s">
        <v>13</v>
      </c>
      <c r="C6" s="1">
        <v>1.1695906432748541E-2</v>
      </c>
      <c r="D6" s="1">
        <v>6.535947712418301E-2</v>
      </c>
      <c r="E6" s="8">
        <v>10</v>
      </c>
      <c r="F6" s="8">
        <v>153</v>
      </c>
      <c r="G6" s="1">
        <f t="shared" si="0"/>
        <v>6.1739490651303184</v>
      </c>
      <c r="H6" s="1">
        <f t="shared" si="1"/>
        <v>6.6605010395903719E-10</v>
      </c>
      <c r="I6" s="1">
        <f t="shared" si="2"/>
        <v>3.5885722657867693E-2</v>
      </c>
      <c r="J6" s="1">
        <f t="shared" si="3"/>
        <v>0.11612496838328466</v>
      </c>
      <c r="K6" s="1" t="str">
        <f t="shared" si="4"/>
        <v>Yes</v>
      </c>
      <c r="L6" s="1">
        <f>(Params!$B$2*Params!$C$2)/(1+(Params!$C$2-1)*Params!$A$2)</f>
        <v>58.846153846153847</v>
      </c>
      <c r="M6" s="1">
        <f t="shared" si="5"/>
        <v>3.8289206683036539</v>
      </c>
      <c r="N6" s="1">
        <f t="shared" si="6"/>
        <v>1.2870648369611715E-4</v>
      </c>
      <c r="O6" s="1" t="str">
        <f t="shared" si="7"/>
        <v>Yes</v>
      </c>
      <c r="P6">
        <f t="shared" si="8"/>
        <v>2.5264197692430636E-2</v>
      </c>
      <c r="Q6">
        <f t="shared" si="9"/>
        <v>0.15872560868368896</v>
      </c>
    </row>
    <row r="7" spans="1:17" x14ac:dyDescent="0.2">
      <c r="A7" t="s">
        <v>8</v>
      </c>
      <c r="B7" t="s">
        <v>14</v>
      </c>
      <c r="C7" s="1">
        <v>0.98245614035087714</v>
      </c>
      <c r="D7" s="1">
        <v>0.90196078431372551</v>
      </c>
      <c r="E7" s="8">
        <v>138</v>
      </c>
      <c r="F7" s="8">
        <v>153</v>
      </c>
      <c r="G7" s="1">
        <f t="shared" si="0"/>
        <v>-7.5839835655603052</v>
      </c>
      <c r="H7" s="1">
        <f t="shared" si="1"/>
        <v>3.3528735343679728E-14</v>
      </c>
      <c r="I7" s="1">
        <f t="shared" si="2"/>
        <v>0.84454612084699776</v>
      </c>
      <c r="J7" s="1">
        <f t="shared" si="3"/>
        <v>0.93968459345329003</v>
      </c>
      <c r="K7" s="1" t="str">
        <f t="shared" si="4"/>
        <v>Yes</v>
      </c>
      <c r="L7" s="1">
        <f>(Params!$B$2*Params!$C$2)/(1+(Params!$C$2-1)*Params!$A$2)</f>
        <v>58.846153846153847</v>
      </c>
      <c r="M7" s="1">
        <f t="shared" si="5"/>
        <v>-4.7033869434159561</v>
      </c>
      <c r="N7" s="1">
        <f t="shared" si="6"/>
        <v>2.5588081318250744E-6</v>
      </c>
      <c r="O7" s="1" t="str">
        <f t="shared" si="7"/>
        <v>Yes</v>
      </c>
      <c r="P7">
        <f t="shared" si="8"/>
        <v>0.79970234880734559</v>
      </c>
      <c r="Q7">
        <f t="shared" si="9"/>
        <v>0.95495369492000259</v>
      </c>
    </row>
    <row r="8" spans="1:17" x14ac:dyDescent="0.2">
      <c r="A8" t="s">
        <v>9</v>
      </c>
      <c r="B8" t="s">
        <v>13</v>
      </c>
      <c r="C8" s="1">
        <v>5.3475935828876997E-2</v>
      </c>
      <c r="D8" s="1">
        <v>4.5751633986928102E-2</v>
      </c>
      <c r="E8" s="8">
        <v>7</v>
      </c>
      <c r="F8" s="8">
        <v>153</v>
      </c>
      <c r="G8" s="1">
        <f t="shared" si="0"/>
        <v>-0.4246781581134782</v>
      </c>
      <c r="H8" s="1">
        <f t="shared" si="1"/>
        <v>0.67107130828475459</v>
      </c>
      <c r="I8" s="1">
        <f t="shared" si="2"/>
        <v>2.2335930569900461E-2</v>
      </c>
      <c r="J8" s="1">
        <f t="shared" si="3"/>
        <v>9.1419603676115888E-2</v>
      </c>
      <c r="K8" s="1" t="str">
        <f t="shared" si="4"/>
        <v>No</v>
      </c>
      <c r="L8" s="1">
        <f>(Params!$B$2*Params!$C$2)/(1+(Params!$C$2-1)*Params!$A$2)</f>
        <v>58.846153846153847</v>
      </c>
      <c r="M8" s="1">
        <f t="shared" si="5"/>
        <v>-0.26337421313719583</v>
      </c>
      <c r="N8" s="1">
        <f t="shared" si="6"/>
        <v>0.79226216410890138</v>
      </c>
      <c r="O8" s="1" t="str">
        <f t="shared" si="7"/>
        <v>No</v>
      </c>
      <c r="P8">
        <f t="shared" si="8"/>
        <v>1.4848945998696459E-2</v>
      </c>
      <c r="Q8">
        <f t="shared" si="9"/>
        <v>0.13232837043950374</v>
      </c>
    </row>
    <row r="9" spans="1:17" x14ac:dyDescent="0.2">
      <c r="A9" t="s">
        <v>9</v>
      </c>
      <c r="B9" t="s">
        <v>14</v>
      </c>
      <c r="C9" s="1">
        <v>0.6470588235294118</v>
      </c>
      <c r="D9" s="1">
        <v>0.74509803921568629</v>
      </c>
      <c r="E9" s="8">
        <v>114</v>
      </c>
      <c r="F9" s="8">
        <v>153</v>
      </c>
      <c r="G9" s="1">
        <f t="shared" si="0"/>
        <v>2.5375960946127609</v>
      </c>
      <c r="H9" s="1">
        <f t="shared" si="1"/>
        <v>1.1161672059400995E-2</v>
      </c>
      <c r="I9" s="1">
        <f t="shared" si="2"/>
        <v>0.670625643310794</v>
      </c>
      <c r="J9" s="1">
        <f t="shared" si="3"/>
        <v>0.80756381662840593</v>
      </c>
      <c r="K9" s="1" t="str">
        <f t="shared" si="4"/>
        <v>Yes</v>
      </c>
      <c r="L9" s="1">
        <f>(Params!$B$2*Params!$C$2)/(1+(Params!$C$2-1)*Params!$A$2)</f>
        <v>58.846153846153847</v>
      </c>
      <c r="M9" s="1">
        <f t="shared" si="5"/>
        <v>1.5737502904495286</v>
      </c>
      <c r="N9" s="1">
        <f t="shared" si="6"/>
        <v>0.11554519032979105</v>
      </c>
      <c r="O9" s="1" t="str">
        <f t="shared" si="7"/>
        <v>No</v>
      </c>
      <c r="P9">
        <f t="shared" si="8"/>
        <v>0.62115327420410016</v>
      </c>
      <c r="Q9">
        <f t="shared" si="9"/>
        <v>0.83900285001989261</v>
      </c>
    </row>
    <row r="10" spans="1:17" x14ac:dyDescent="0.2">
      <c r="A10" t="s">
        <v>10</v>
      </c>
      <c r="B10" t="s">
        <v>13</v>
      </c>
      <c r="C10" s="1">
        <f>1-0.000001</f>
        <v>0.99999899999999997</v>
      </c>
      <c r="D10" s="1">
        <v>0.55555555555555558</v>
      </c>
      <c r="E10" s="8">
        <v>85</v>
      </c>
      <c r="F10" s="8">
        <v>153</v>
      </c>
      <c r="G10" s="1">
        <f t="shared" si="0"/>
        <v>-5497.4645468272556</v>
      </c>
      <c r="H10" s="1">
        <f t="shared" si="1"/>
        <v>0</v>
      </c>
      <c r="I10" s="1">
        <f t="shared" si="2"/>
        <v>0.47641543901668937</v>
      </c>
      <c r="J10" s="1">
        <f t="shared" si="3"/>
        <v>0.63197417190286265</v>
      </c>
      <c r="K10" s="1" t="str">
        <f t="shared" si="4"/>
        <v>Yes</v>
      </c>
      <c r="L10" s="1">
        <f>(Params!$B$2*Params!$C$2)/(1+(Params!$C$2-1)*Params!$A$2)</f>
        <v>58.846153846153847</v>
      </c>
      <c r="M10" s="1">
        <f t="shared" si="5"/>
        <v>-3409.382779896509</v>
      </c>
      <c r="N10" s="1">
        <f t="shared" si="6"/>
        <v>0</v>
      </c>
      <c r="O10" s="1" t="str">
        <f t="shared" si="7"/>
        <v>Yes</v>
      </c>
      <c r="P10">
        <f t="shared" si="8"/>
        <v>0.42909483291040712</v>
      </c>
      <c r="Q10">
        <f t="shared" si="9"/>
        <v>0.67520722191369786</v>
      </c>
    </row>
    <row r="11" spans="1:17" x14ac:dyDescent="0.2">
      <c r="A11" t="s">
        <v>10</v>
      </c>
      <c r="B11" t="s">
        <v>14</v>
      </c>
      <c r="C11" s="1">
        <v>9.9999999999999995E-7</v>
      </c>
      <c r="D11" s="1">
        <v>0.41830065359477131</v>
      </c>
      <c r="E11" s="8">
        <v>64</v>
      </c>
      <c r="F11" s="8">
        <v>153</v>
      </c>
      <c r="G11" s="1">
        <f t="shared" si="0"/>
        <v>5174.0835518339836</v>
      </c>
      <c r="H11" s="1">
        <f t="shared" si="1"/>
        <v>0</v>
      </c>
      <c r="I11" s="1">
        <f t="shared" si="2"/>
        <v>0.34307552388857093</v>
      </c>
      <c r="J11" s="1">
        <f t="shared" si="3"/>
        <v>0.49752798946502935</v>
      </c>
      <c r="K11" s="1" t="str">
        <f t="shared" si="4"/>
        <v>Yes</v>
      </c>
      <c r="L11" s="1">
        <f>(Params!$B$2*Params!$C$2)/(1+(Params!$C$2-1)*Params!$A$2)</f>
        <v>58.846153846153847</v>
      </c>
      <c r="M11" s="1">
        <f t="shared" si="5"/>
        <v>3208.830400470586</v>
      </c>
      <c r="N11" s="1">
        <f t="shared" si="6"/>
        <v>0</v>
      </c>
      <c r="O11" s="1" t="str">
        <f t="shared" si="7"/>
        <v>Yes</v>
      </c>
      <c r="P11">
        <f t="shared" si="8"/>
        <v>0.30109273694519439</v>
      </c>
      <c r="Q11">
        <f t="shared" si="9"/>
        <v>0.54552188831347481</v>
      </c>
    </row>
    <row r="12" spans="1:17" x14ac:dyDescent="0.2">
      <c r="A12" t="s">
        <v>11</v>
      </c>
      <c r="B12" t="s">
        <v>13</v>
      </c>
      <c r="C12" s="1">
        <v>0.6539589442815249</v>
      </c>
      <c r="D12" s="1">
        <v>0.41830065359477131</v>
      </c>
      <c r="E12" s="8">
        <v>64</v>
      </c>
      <c r="F12" s="8">
        <v>153</v>
      </c>
      <c r="G12" s="1">
        <f t="shared" si="0"/>
        <v>-6.1275855378686579</v>
      </c>
      <c r="H12" s="1">
        <f t="shared" si="1"/>
        <v>8.9222629284790855E-10</v>
      </c>
      <c r="I12" s="1">
        <f t="shared" si="2"/>
        <v>0.34307552388857093</v>
      </c>
      <c r="J12" s="1">
        <f t="shared" si="3"/>
        <v>0.49752798946502935</v>
      </c>
      <c r="K12" s="1" t="str">
        <f t="shared" si="4"/>
        <v>Yes</v>
      </c>
      <c r="L12" s="1">
        <f>(Params!$B$2*Params!$C$2)/(1+(Params!$C$2-1)*Params!$A$2)</f>
        <v>58.846153846153847</v>
      </c>
      <c r="M12" s="1">
        <f t="shared" si="5"/>
        <v>-3.800167229311056</v>
      </c>
      <c r="N12" s="1">
        <f t="shared" si="6"/>
        <v>1.4459847470260634E-4</v>
      </c>
      <c r="O12" s="1" t="str">
        <f t="shared" si="7"/>
        <v>Yes</v>
      </c>
      <c r="P12">
        <f t="shared" si="8"/>
        <v>0.30109273694519439</v>
      </c>
      <c r="Q12">
        <f t="shared" si="9"/>
        <v>0.54552188831347481</v>
      </c>
    </row>
    <row r="13" spans="1:17" x14ac:dyDescent="0.2">
      <c r="A13" t="s">
        <v>11</v>
      </c>
      <c r="B13" t="s">
        <v>14</v>
      </c>
      <c r="C13" s="1">
        <v>0.26686217008797652</v>
      </c>
      <c r="D13" s="1">
        <v>0.52287581699346408</v>
      </c>
      <c r="E13" s="8">
        <v>80</v>
      </c>
      <c r="F13" s="8">
        <v>153</v>
      </c>
      <c r="G13" s="1">
        <f t="shared" si="0"/>
        <v>7.1593321257216056</v>
      </c>
      <c r="H13" s="1">
        <f t="shared" si="1"/>
        <v>8.1068485258128931E-13</v>
      </c>
      <c r="I13" s="1">
        <f t="shared" si="2"/>
        <v>0.44414344244190779</v>
      </c>
      <c r="J13" s="1">
        <f t="shared" si="3"/>
        <v>0.60048757381908424</v>
      </c>
      <c r="K13" s="1" t="str">
        <f t="shared" si="4"/>
        <v>Yes</v>
      </c>
      <c r="L13" s="1">
        <f>(Params!$B$2*Params!$C$2)/(1+(Params!$C$2-1)*Params!$A$2)</f>
        <v>58.846153846153847</v>
      </c>
      <c r="M13" s="1">
        <f t="shared" si="5"/>
        <v>4.4400293002493649</v>
      </c>
      <c r="N13" s="1">
        <f t="shared" si="6"/>
        <v>8.9946630783543924E-6</v>
      </c>
      <c r="O13" s="1" t="str">
        <f t="shared" si="7"/>
        <v>Yes</v>
      </c>
      <c r="P13">
        <f t="shared" si="8"/>
        <v>0.39782010871644158</v>
      </c>
      <c r="Q13">
        <f t="shared" si="9"/>
        <v>0.64512779621113114</v>
      </c>
    </row>
    <row r="14" spans="1:17" x14ac:dyDescent="0.2">
      <c r="A14" t="s">
        <v>12</v>
      </c>
      <c r="B14" t="s">
        <v>13</v>
      </c>
      <c r="C14" s="1">
        <v>0.46644295302013422</v>
      </c>
      <c r="D14" s="1">
        <v>0.33333333333333331</v>
      </c>
      <c r="E14" s="8">
        <v>51</v>
      </c>
      <c r="F14" s="8">
        <v>153</v>
      </c>
      <c r="G14" s="1">
        <f t="shared" si="0"/>
        <v>-3.3003914988938465</v>
      </c>
      <c r="H14" s="1">
        <f t="shared" si="1"/>
        <v>9.6550038802623028E-4</v>
      </c>
      <c r="I14" s="1">
        <f t="shared" si="2"/>
        <v>0.26352603665679641</v>
      </c>
      <c r="J14" s="1">
        <f t="shared" si="3"/>
        <v>0.41130513058454776</v>
      </c>
      <c r="K14" s="1" t="str">
        <f t="shared" si="4"/>
        <v>Yes</v>
      </c>
      <c r="L14" s="1">
        <f>(Params!$B$2*Params!$C$2)/(1+(Params!$C$2-1)*Params!$A$2)</f>
        <v>58.846153846153847</v>
      </c>
      <c r="M14" s="1">
        <f t="shared" si="5"/>
        <v>-2.0468159180288907</v>
      </c>
      <c r="N14" s="1">
        <f t="shared" si="6"/>
        <v>4.0676162144667183E-2</v>
      </c>
      <c r="O14" s="1" t="str">
        <f t="shared" si="7"/>
        <v>Yes</v>
      </c>
      <c r="P14">
        <f t="shared" si="8"/>
        <v>0.22640414213968663</v>
      </c>
      <c r="Q14">
        <f t="shared" si="9"/>
        <v>0.46068969338799837</v>
      </c>
    </row>
    <row r="15" spans="1:17" x14ac:dyDescent="0.2">
      <c r="A15" t="s">
        <v>12</v>
      </c>
      <c r="B15" t="s">
        <v>14</v>
      </c>
      <c r="C15" s="1">
        <v>0.16778523489932889</v>
      </c>
      <c r="D15" s="1">
        <v>0.5490196078431373</v>
      </c>
      <c r="E15" s="8">
        <v>84</v>
      </c>
      <c r="F15" s="8">
        <v>153</v>
      </c>
      <c r="G15" s="1">
        <f t="shared" si="0"/>
        <v>12.619530208945859</v>
      </c>
      <c r="H15" s="1">
        <f t="shared" si="1"/>
        <v>0</v>
      </c>
      <c r="I15" s="1">
        <f t="shared" si="2"/>
        <v>0.4699346661495033</v>
      </c>
      <c r="J15" s="1">
        <f t="shared" si="3"/>
        <v>0.62570322583833671</v>
      </c>
      <c r="K15" s="1" t="str">
        <f t="shared" si="4"/>
        <v>Yes</v>
      </c>
      <c r="L15" s="1">
        <f>(Params!$B$2*Params!$C$2)/(1+(Params!$C$2-1)*Params!$A$2)</f>
        <v>58.846153846153847</v>
      </c>
      <c r="M15" s="1">
        <f t="shared" si="5"/>
        <v>7.8263004005354908</v>
      </c>
      <c r="N15" s="1">
        <f t="shared" si="6"/>
        <v>5.1070259132757201E-15</v>
      </c>
      <c r="O15" s="1" t="str">
        <f t="shared" si="7"/>
        <v>Yes</v>
      </c>
      <c r="P15">
        <f t="shared" si="8"/>
        <v>0.42279976134485175</v>
      </c>
      <c r="Q15">
        <f t="shared" si="9"/>
        <v>0.66923146349994689</v>
      </c>
    </row>
    <row r="16" spans="1:17" x14ac:dyDescent="0.2">
      <c r="A16" s="5" t="s">
        <v>6</v>
      </c>
      <c r="B16" s="5" t="s">
        <v>13</v>
      </c>
      <c r="C16" s="6">
        <v>0.15449915110356541</v>
      </c>
      <c r="D16" s="6">
        <v>0.1764705882352941</v>
      </c>
      <c r="E16" s="9">
        <v>27</v>
      </c>
      <c r="F16" s="9">
        <v>17</v>
      </c>
      <c r="G16" s="6">
        <f t="shared" si="0"/>
        <v>0.25064719720378864</v>
      </c>
      <c r="H16" s="6">
        <f t="shared" si="1"/>
        <v>0.80208688810928663</v>
      </c>
      <c r="I16" s="6">
        <f t="shared" si="2"/>
        <v>6.1910137125489921E-2</v>
      </c>
      <c r="J16" s="6">
        <f t="shared" si="3"/>
        <v>0.41029929017375777</v>
      </c>
      <c r="K16" s="1" t="str">
        <f t="shared" si="4"/>
        <v>No</v>
      </c>
      <c r="L16" s="6">
        <f>(Params!$B$2*Params!$C$2)/(1+(Params!$C$2-1)*Params!$A$2)</f>
        <v>58.846153846153847</v>
      </c>
      <c r="M16" s="6">
        <f t="shared" si="5"/>
        <v>0.46633437871051375</v>
      </c>
      <c r="N16" s="6">
        <f t="shared" si="6"/>
        <v>0.64097617448351918</v>
      </c>
      <c r="O16" s="6" t="str">
        <f t="shared" si="7"/>
        <v>No</v>
      </c>
      <c r="P16" s="5">
        <f t="shared" si="8"/>
        <v>9.9865387284770707E-2</v>
      </c>
      <c r="Q16" s="5">
        <f t="shared" si="9"/>
        <v>0.29272852873955885</v>
      </c>
    </row>
    <row r="17" spans="1:17" x14ac:dyDescent="0.2">
      <c r="A17" t="s">
        <v>6</v>
      </c>
      <c r="B17" t="s">
        <v>14</v>
      </c>
      <c r="C17" s="1">
        <v>0.69439728353140917</v>
      </c>
      <c r="D17" s="1">
        <v>0.80392156862745101</v>
      </c>
      <c r="E17" s="8">
        <v>123</v>
      </c>
      <c r="F17" s="8">
        <v>17</v>
      </c>
      <c r="G17" s="1">
        <f t="shared" si="0"/>
        <v>0.98028481655590716</v>
      </c>
      <c r="H17" s="1">
        <f t="shared" si="1"/>
        <v>0.32694554741819859</v>
      </c>
      <c r="I17" s="1">
        <f t="shared" si="2"/>
        <v>0.56847621219317246</v>
      </c>
      <c r="J17" s="1">
        <f t="shared" si="3"/>
        <v>0.92732705307117069</v>
      </c>
      <c r="K17" s="1" t="str">
        <f t="shared" si="4"/>
        <v>No</v>
      </c>
      <c r="L17" s="1">
        <f>(Params!$B$2*Params!$C$2)/(1+(Params!$C$2-1)*Params!$A$2)</f>
        <v>58.846153846153847</v>
      </c>
      <c r="M17" s="1">
        <f t="shared" si="5"/>
        <v>1.8238405056501426</v>
      </c>
      <c r="N17" s="1">
        <f t="shared" si="6"/>
        <v>6.8176188216902966E-2</v>
      </c>
      <c r="O17" s="1" t="str">
        <f t="shared" si="7"/>
        <v>No</v>
      </c>
      <c r="P17">
        <f t="shared" si="8"/>
        <v>0.68526285797502373</v>
      </c>
      <c r="Q17">
        <f t="shared" si="9"/>
        <v>0.88533073606272727</v>
      </c>
    </row>
    <row r="18" spans="1:17" x14ac:dyDescent="0.2">
      <c r="A18" t="s">
        <v>7</v>
      </c>
      <c r="B18" t="s">
        <v>13</v>
      </c>
      <c r="C18" s="1">
        <v>0.58472553699284013</v>
      </c>
      <c r="D18" s="1">
        <v>0.1372549019607843</v>
      </c>
      <c r="E18" s="8">
        <v>21</v>
      </c>
      <c r="F18" s="8">
        <v>17</v>
      </c>
      <c r="G18" s="1">
        <f t="shared" si="0"/>
        <v>-3.7440820506398129</v>
      </c>
      <c r="H18" s="1">
        <f t="shared" si="1"/>
        <v>1.8105448432148563E-4</v>
      </c>
      <c r="I18" s="1">
        <f t="shared" si="2"/>
        <v>4.195247810728258E-2</v>
      </c>
      <c r="J18" s="1">
        <f t="shared" si="3"/>
        <v>0.36628233431914659</v>
      </c>
      <c r="K18" s="1" t="str">
        <f t="shared" si="4"/>
        <v>Yes</v>
      </c>
      <c r="L18" s="1">
        <f>(Params!$B$2*Params!$C$2)/(1+(Params!$C$2-1)*Params!$A$2)</f>
        <v>58.846153846153847</v>
      </c>
      <c r="M18" s="1">
        <f t="shared" si="5"/>
        <v>-6.9659433514699289</v>
      </c>
      <c r="N18" s="1">
        <f t="shared" si="6"/>
        <v>3.2620572909536349E-12</v>
      </c>
      <c r="O18" s="1" t="str">
        <f t="shared" si="7"/>
        <v>Yes</v>
      </c>
      <c r="P18">
        <f t="shared" si="8"/>
        <v>7.1445476052756474E-2</v>
      </c>
      <c r="Q18">
        <f t="shared" si="9"/>
        <v>0.24752346009573428</v>
      </c>
    </row>
    <row r="19" spans="1:17" x14ac:dyDescent="0.2">
      <c r="A19" t="s">
        <v>7</v>
      </c>
      <c r="B19" t="s">
        <v>14</v>
      </c>
      <c r="C19" s="1">
        <v>0.18377088305489259</v>
      </c>
      <c r="D19" s="1">
        <v>0.75163398692810457</v>
      </c>
      <c r="E19" s="8">
        <v>115</v>
      </c>
      <c r="F19" s="8">
        <v>17</v>
      </c>
      <c r="G19" s="1">
        <f t="shared" si="0"/>
        <v>6.0453816015086064</v>
      </c>
      <c r="H19" s="1">
        <f t="shared" si="1"/>
        <v>1.4905678913379461E-9</v>
      </c>
      <c r="I19" s="1">
        <f t="shared" si="2"/>
        <v>0.51404283641198634</v>
      </c>
      <c r="J19" s="1">
        <f t="shared" si="3"/>
        <v>0.89646094235526552</v>
      </c>
      <c r="K19" s="1" t="str">
        <f t="shared" si="4"/>
        <v>Yes</v>
      </c>
      <c r="L19" s="1">
        <f>(Params!$B$2*Params!$C$2)/(1+(Params!$C$2-1)*Params!$A$2)</f>
        <v>58.846153846153847</v>
      </c>
      <c r="M19" s="1">
        <f t="shared" si="5"/>
        <v>11.24755953650406</v>
      </c>
      <c r="N19" s="1">
        <f t="shared" si="6"/>
        <v>0</v>
      </c>
      <c r="O19" s="1" t="str">
        <f t="shared" si="7"/>
        <v>Yes</v>
      </c>
      <c r="P19">
        <f t="shared" si="8"/>
        <v>0.62814940166037891</v>
      </c>
      <c r="Q19">
        <f t="shared" si="9"/>
        <v>0.84427755254292025</v>
      </c>
    </row>
    <row r="20" spans="1:17" x14ac:dyDescent="0.2">
      <c r="A20" t="s">
        <v>8</v>
      </c>
      <c r="B20" t="s">
        <v>13</v>
      </c>
      <c r="C20" s="1">
        <v>1.1695906432748541E-2</v>
      </c>
      <c r="D20" s="1">
        <v>6.535947712418301E-2</v>
      </c>
      <c r="E20" s="8">
        <v>10</v>
      </c>
      <c r="F20" s="8">
        <v>17</v>
      </c>
      <c r="G20" s="1">
        <f t="shared" si="0"/>
        <v>2.0579830217101058</v>
      </c>
      <c r="H20" s="1">
        <f t="shared" si="1"/>
        <v>3.9591763236690447E-2</v>
      </c>
      <c r="I20" s="1">
        <f t="shared" si="2"/>
        <v>1.2514499550905568E-2</v>
      </c>
      <c r="J20" s="1">
        <f t="shared" si="3"/>
        <v>0.27843351894202312</v>
      </c>
      <c r="K20" s="1" t="str">
        <f t="shared" si="4"/>
        <v>Yes</v>
      </c>
      <c r="L20" s="1">
        <f>(Params!$B$2*Params!$C$2)/(1+(Params!$C$2-1)*Params!$A$2)</f>
        <v>58.846153846153847</v>
      </c>
      <c r="M20" s="1">
        <f t="shared" si="5"/>
        <v>3.8289206683036539</v>
      </c>
      <c r="N20" s="1">
        <f t="shared" si="6"/>
        <v>1.2870648369611715E-4</v>
      </c>
      <c r="O20" s="1" t="str">
        <f t="shared" si="7"/>
        <v>Yes</v>
      </c>
      <c r="P20">
        <f t="shared" si="8"/>
        <v>2.5264197692430636E-2</v>
      </c>
      <c r="Q20">
        <f t="shared" si="9"/>
        <v>0.15872560868368896</v>
      </c>
    </row>
    <row r="21" spans="1:17" x14ac:dyDescent="0.2">
      <c r="A21" t="s">
        <v>8</v>
      </c>
      <c r="B21" t="s">
        <v>14</v>
      </c>
      <c r="C21" s="1">
        <v>0.98245614035087714</v>
      </c>
      <c r="D21" s="1">
        <v>0.90196078431372551</v>
      </c>
      <c r="E21" s="8">
        <v>138</v>
      </c>
      <c r="F21" s="8">
        <v>17</v>
      </c>
      <c r="G21" s="1">
        <f t="shared" si="0"/>
        <v>-2.5279945218534348</v>
      </c>
      <c r="H21" s="1">
        <f t="shared" si="1"/>
        <v>1.1471614189888957E-2</v>
      </c>
      <c r="I21" s="1">
        <f t="shared" si="2"/>
        <v>0.68025979122913127</v>
      </c>
      <c r="J21" s="1">
        <f t="shared" si="3"/>
        <v>0.97548001121725825</v>
      </c>
      <c r="K21" s="1" t="str">
        <f t="shared" si="4"/>
        <v>Yes</v>
      </c>
      <c r="L21" s="1">
        <f>(Params!$B$2*Params!$C$2)/(1+(Params!$C$2-1)*Params!$A$2)</f>
        <v>58.846153846153847</v>
      </c>
      <c r="M21" s="1">
        <f t="shared" si="5"/>
        <v>-4.7033869434159561</v>
      </c>
      <c r="N21" s="1">
        <f t="shared" si="6"/>
        <v>2.5588081318250744E-6</v>
      </c>
      <c r="O21" s="1" t="str">
        <f t="shared" si="7"/>
        <v>Yes</v>
      </c>
      <c r="P21">
        <f t="shared" si="8"/>
        <v>0.79970234880734559</v>
      </c>
      <c r="Q21">
        <f t="shared" si="9"/>
        <v>0.95495369492000259</v>
      </c>
    </row>
    <row r="22" spans="1:17" x14ac:dyDescent="0.2">
      <c r="A22" t="s">
        <v>9</v>
      </c>
      <c r="B22" t="s">
        <v>13</v>
      </c>
      <c r="C22" s="1">
        <v>5.3475935828876997E-2</v>
      </c>
      <c r="D22" s="1">
        <v>4.5751633986928102E-2</v>
      </c>
      <c r="E22" s="8">
        <v>7</v>
      </c>
      <c r="F22" s="8">
        <v>17</v>
      </c>
      <c r="G22" s="1">
        <f t="shared" si="0"/>
        <v>-0.14155938603782606</v>
      </c>
      <c r="H22" s="1">
        <f t="shared" si="1"/>
        <v>0.88742804902968753</v>
      </c>
      <c r="I22" s="1">
        <f t="shared" si="2"/>
        <v>6.7702135051832145E-3</v>
      </c>
      <c r="J22" s="1">
        <f t="shared" si="3"/>
        <v>0.25219049755133621</v>
      </c>
      <c r="K22" s="1" t="str">
        <f t="shared" si="4"/>
        <v>No</v>
      </c>
      <c r="L22" s="1">
        <f>(Params!$B$2*Params!$C$2)/(1+(Params!$C$2-1)*Params!$A$2)</f>
        <v>58.846153846153847</v>
      </c>
      <c r="M22" s="1">
        <f t="shared" si="5"/>
        <v>-0.26337421313719583</v>
      </c>
      <c r="N22" s="1">
        <f t="shared" si="6"/>
        <v>0.79226216410890138</v>
      </c>
      <c r="O22" s="1" t="str">
        <f t="shared" si="7"/>
        <v>No</v>
      </c>
      <c r="P22">
        <f t="shared" si="8"/>
        <v>1.4848945998696459E-2</v>
      </c>
      <c r="Q22">
        <f t="shared" si="9"/>
        <v>0.13232837043950374</v>
      </c>
    </row>
    <row r="23" spans="1:17" x14ac:dyDescent="0.2">
      <c r="A23" t="s">
        <v>9</v>
      </c>
      <c r="B23" t="s">
        <v>14</v>
      </c>
      <c r="C23" s="1">
        <v>0.6470588235294118</v>
      </c>
      <c r="D23" s="1">
        <v>0.74509803921568629</v>
      </c>
      <c r="E23" s="8">
        <v>114</v>
      </c>
      <c r="F23" s="8">
        <v>17</v>
      </c>
      <c r="G23" s="1">
        <f t="shared" si="0"/>
        <v>0.84586536487092034</v>
      </c>
      <c r="H23" s="1">
        <f t="shared" si="1"/>
        <v>0.39762785594382422</v>
      </c>
      <c r="I23" s="1">
        <f t="shared" si="2"/>
        <v>0.50743943758943055</v>
      </c>
      <c r="J23" s="1">
        <f t="shared" si="3"/>
        <v>0.89240190536568487</v>
      </c>
      <c r="K23" s="1" t="str">
        <f t="shared" si="4"/>
        <v>No</v>
      </c>
      <c r="L23" s="1">
        <f>(Params!$B$2*Params!$C$2)/(1+(Params!$C$2-1)*Params!$A$2)</f>
        <v>58.846153846153847</v>
      </c>
      <c r="M23" s="1">
        <f t="shared" si="5"/>
        <v>1.5737502904495286</v>
      </c>
      <c r="N23" s="1">
        <f t="shared" si="6"/>
        <v>0.11554519032979105</v>
      </c>
      <c r="O23" s="1" t="str">
        <f t="shared" si="7"/>
        <v>No</v>
      </c>
      <c r="P23">
        <f t="shared" si="8"/>
        <v>0.62115327420410016</v>
      </c>
      <c r="Q23">
        <f t="shared" si="9"/>
        <v>0.83900285001989261</v>
      </c>
    </row>
    <row r="24" spans="1:17" x14ac:dyDescent="0.2">
      <c r="A24" t="s">
        <v>10</v>
      </c>
      <c r="B24" t="s">
        <v>13</v>
      </c>
      <c r="C24" s="1">
        <f>1-0.000001</f>
        <v>0.99999899999999997</v>
      </c>
      <c r="D24" s="1">
        <v>0.55555555555555558</v>
      </c>
      <c r="E24" s="8">
        <v>85</v>
      </c>
      <c r="F24" s="8">
        <v>17</v>
      </c>
      <c r="G24" s="1">
        <f t="shared" si="0"/>
        <v>-1832.4881822757518</v>
      </c>
      <c r="H24" s="1">
        <f t="shared" si="1"/>
        <v>0</v>
      </c>
      <c r="I24" s="1">
        <f t="shared" si="2"/>
        <v>0.33173427468933869</v>
      </c>
      <c r="J24" s="1">
        <f t="shared" si="3"/>
        <v>0.75889642971382076</v>
      </c>
      <c r="K24" s="1" t="str">
        <f t="shared" si="4"/>
        <v>Yes</v>
      </c>
      <c r="L24" s="1">
        <f>(Params!$B$2*Params!$C$2)/(1+(Params!$C$2-1)*Params!$A$2)</f>
        <v>58.846153846153847</v>
      </c>
      <c r="M24" s="1">
        <f t="shared" si="5"/>
        <v>-3409.382779896509</v>
      </c>
      <c r="N24" s="1">
        <f t="shared" si="6"/>
        <v>0</v>
      </c>
      <c r="O24" s="1" t="str">
        <f t="shared" si="7"/>
        <v>Yes</v>
      </c>
      <c r="P24">
        <f t="shared" si="8"/>
        <v>0.42909483291040712</v>
      </c>
      <c r="Q24">
        <f t="shared" si="9"/>
        <v>0.67520722191369786</v>
      </c>
    </row>
    <row r="25" spans="1:17" x14ac:dyDescent="0.2">
      <c r="A25" t="s">
        <v>10</v>
      </c>
      <c r="B25" t="s">
        <v>14</v>
      </c>
      <c r="C25" s="1">
        <v>9.9999999999999995E-7</v>
      </c>
      <c r="D25" s="1">
        <v>0.41830065359477131</v>
      </c>
      <c r="E25" s="8">
        <v>64</v>
      </c>
      <c r="F25" s="8">
        <v>17</v>
      </c>
      <c r="G25" s="1">
        <f t="shared" si="0"/>
        <v>1724.6945172779947</v>
      </c>
      <c r="H25" s="1">
        <f t="shared" si="1"/>
        <v>0</v>
      </c>
      <c r="I25" s="1">
        <f t="shared" si="2"/>
        <v>0.22104545307374859</v>
      </c>
      <c r="J25" s="1">
        <f t="shared" si="3"/>
        <v>0.64567409927454644</v>
      </c>
      <c r="K25" s="1" t="str">
        <f t="shared" si="4"/>
        <v>Yes</v>
      </c>
      <c r="L25" s="1">
        <f>(Params!$B$2*Params!$C$2)/(1+(Params!$C$2-1)*Params!$A$2)</f>
        <v>58.846153846153847</v>
      </c>
      <c r="M25" s="1">
        <f t="shared" si="5"/>
        <v>3208.830400470586</v>
      </c>
      <c r="N25" s="1">
        <f t="shared" si="6"/>
        <v>0</v>
      </c>
      <c r="O25" s="1" t="str">
        <f t="shared" si="7"/>
        <v>Yes</v>
      </c>
      <c r="P25">
        <f t="shared" si="8"/>
        <v>0.30109273694519439</v>
      </c>
      <c r="Q25">
        <f t="shared" si="9"/>
        <v>0.54552188831347481</v>
      </c>
    </row>
    <row r="26" spans="1:17" x14ac:dyDescent="0.2">
      <c r="A26" t="s">
        <v>11</v>
      </c>
      <c r="B26" t="s">
        <v>13</v>
      </c>
      <c r="C26" s="1">
        <v>0.6539589442815249</v>
      </c>
      <c r="D26" s="1">
        <v>0.41830065359477131</v>
      </c>
      <c r="E26" s="8">
        <v>64</v>
      </c>
      <c r="F26" s="8">
        <v>17</v>
      </c>
      <c r="G26" s="1">
        <f t="shared" si="0"/>
        <v>-2.0425285126228858</v>
      </c>
      <c r="H26" s="1">
        <f t="shared" si="1"/>
        <v>4.1099134100211376E-2</v>
      </c>
      <c r="I26" s="1">
        <f t="shared" si="2"/>
        <v>0.22104545307374859</v>
      </c>
      <c r="J26" s="1">
        <f t="shared" si="3"/>
        <v>0.64567409927454644</v>
      </c>
      <c r="K26" s="1" t="str">
        <f t="shared" si="4"/>
        <v>Yes</v>
      </c>
      <c r="L26" s="1">
        <f>(Params!$B$2*Params!$C$2)/(1+(Params!$C$2-1)*Params!$A$2)</f>
        <v>58.846153846153847</v>
      </c>
      <c r="M26" s="1">
        <f t="shared" si="5"/>
        <v>-3.800167229311056</v>
      </c>
      <c r="N26" s="1">
        <f t="shared" si="6"/>
        <v>1.4459847470260634E-4</v>
      </c>
      <c r="O26" s="1" t="str">
        <f t="shared" si="7"/>
        <v>Yes</v>
      </c>
      <c r="P26">
        <f t="shared" si="8"/>
        <v>0.30109273694519439</v>
      </c>
      <c r="Q26">
        <f t="shared" si="9"/>
        <v>0.54552188831347481</v>
      </c>
    </row>
    <row r="27" spans="1:17" x14ac:dyDescent="0.2">
      <c r="A27" t="s">
        <v>11</v>
      </c>
      <c r="B27" t="s">
        <v>14</v>
      </c>
      <c r="C27" s="1">
        <v>0.26686217008797652</v>
      </c>
      <c r="D27" s="1">
        <v>0.52287581699346408</v>
      </c>
      <c r="E27" s="8">
        <v>80</v>
      </c>
      <c r="F27" s="8">
        <v>17</v>
      </c>
      <c r="G27" s="1">
        <f t="shared" si="0"/>
        <v>2.3864440419072022</v>
      </c>
      <c r="H27" s="1">
        <f t="shared" si="1"/>
        <v>1.7012196150875569E-2</v>
      </c>
      <c r="I27" s="1">
        <f t="shared" si="2"/>
        <v>0.3041779411110031</v>
      </c>
      <c r="J27" s="1">
        <f t="shared" si="3"/>
        <v>0.73314058423147443</v>
      </c>
      <c r="K27" s="1" t="str">
        <f t="shared" si="4"/>
        <v>Yes</v>
      </c>
      <c r="L27" s="1">
        <f>(Params!$B$2*Params!$C$2)/(1+(Params!$C$2-1)*Params!$A$2)</f>
        <v>58.846153846153847</v>
      </c>
      <c r="M27" s="1">
        <f t="shared" si="5"/>
        <v>4.4400293002493649</v>
      </c>
      <c r="N27" s="1">
        <f t="shared" si="6"/>
        <v>8.9946630783543924E-6</v>
      </c>
      <c r="O27" s="1" t="str">
        <f t="shared" si="7"/>
        <v>Yes</v>
      </c>
      <c r="P27">
        <f t="shared" si="8"/>
        <v>0.39782010871644158</v>
      </c>
      <c r="Q27">
        <f t="shared" si="9"/>
        <v>0.64512779621113114</v>
      </c>
    </row>
    <row r="28" spans="1:17" x14ac:dyDescent="0.2">
      <c r="A28" t="s">
        <v>12</v>
      </c>
      <c r="B28" t="s">
        <v>13</v>
      </c>
      <c r="C28" s="1">
        <v>0.46644295302013422</v>
      </c>
      <c r="D28" s="1">
        <v>0.33333333333333331</v>
      </c>
      <c r="E28" s="8">
        <v>51</v>
      </c>
      <c r="F28" s="8">
        <v>17</v>
      </c>
      <c r="G28" s="1">
        <f t="shared" si="0"/>
        <v>-1.1001304996312822</v>
      </c>
      <c r="H28" s="1">
        <f t="shared" si="1"/>
        <v>0.27127526671623947</v>
      </c>
      <c r="I28" s="1">
        <f t="shared" si="2"/>
        <v>0.15934788755303556</v>
      </c>
      <c r="J28" s="1">
        <f t="shared" si="3"/>
        <v>0.56875999923748599</v>
      </c>
      <c r="K28" s="1" t="str">
        <f t="shared" si="4"/>
        <v>No</v>
      </c>
      <c r="L28" s="1">
        <f>(Params!$B$2*Params!$C$2)/(1+(Params!$C$2-1)*Params!$A$2)</f>
        <v>58.846153846153847</v>
      </c>
      <c r="M28" s="1">
        <f t="shared" si="5"/>
        <v>-2.0468159180288907</v>
      </c>
      <c r="N28" s="1">
        <f t="shared" si="6"/>
        <v>4.0676162144667183E-2</v>
      </c>
      <c r="O28" s="1" t="str">
        <f t="shared" si="7"/>
        <v>Yes</v>
      </c>
      <c r="P28">
        <f t="shared" si="8"/>
        <v>0.22640414213968663</v>
      </c>
      <c r="Q28">
        <f t="shared" si="9"/>
        <v>0.46068969338799837</v>
      </c>
    </row>
    <row r="29" spans="1:17" x14ac:dyDescent="0.2">
      <c r="A29" t="s">
        <v>12</v>
      </c>
      <c r="B29" t="s">
        <v>14</v>
      </c>
      <c r="C29" s="1">
        <v>0.16778523489932889</v>
      </c>
      <c r="D29" s="1">
        <v>0.5490196078431373</v>
      </c>
      <c r="E29" s="8">
        <v>84</v>
      </c>
      <c r="F29" s="8">
        <v>17</v>
      </c>
      <c r="G29" s="1">
        <f t="shared" si="0"/>
        <v>4.20651006964862</v>
      </c>
      <c r="H29" s="1">
        <f t="shared" si="1"/>
        <v>2.5934453295572979E-5</v>
      </c>
      <c r="I29" s="1">
        <f t="shared" si="2"/>
        <v>0.32616262110018479</v>
      </c>
      <c r="J29" s="1">
        <f t="shared" si="3"/>
        <v>0.75380564749083845</v>
      </c>
      <c r="K29" s="1" t="str">
        <f t="shared" si="4"/>
        <v>Yes</v>
      </c>
      <c r="L29" s="1">
        <f>(Params!$B$2*Params!$C$2)/(1+(Params!$C$2-1)*Params!$A$2)</f>
        <v>58.846153846153847</v>
      </c>
      <c r="M29" s="1">
        <f t="shared" si="5"/>
        <v>7.8263004005354908</v>
      </c>
      <c r="N29" s="1">
        <f t="shared" si="6"/>
        <v>5.1070259132757201E-15</v>
      </c>
      <c r="O29" s="1" t="str">
        <f t="shared" si="7"/>
        <v>Yes</v>
      </c>
      <c r="P29">
        <f t="shared" si="8"/>
        <v>0.42279976134485175</v>
      </c>
      <c r="Q29">
        <f t="shared" si="9"/>
        <v>0.66923146349994689</v>
      </c>
    </row>
  </sheetData>
  <sortState xmlns:xlrd2="http://schemas.microsoft.com/office/spreadsheetml/2017/richdata2" ref="A2:Q29">
    <sortCondition descending="1" ref="F1:F29"/>
  </sortState>
  <conditionalFormatting sqref="A1:Q29">
    <cfRule type="cellIs" dxfId="4" priority="1" operator="equal">
      <formula>"No"</formula>
    </cfRule>
  </conditionalFormatting>
  <conditionalFormatting sqref="K1:K29">
    <cfRule type="cellIs" dxfId="3" priority="6" operator="equal">
      <formula>"No"</formula>
    </cfRule>
  </conditionalFormatting>
  <conditionalFormatting sqref="K2">
    <cfRule type="cellIs" dxfId="2" priority="4" operator="equal">
      <formula>"No"</formula>
    </cfRule>
  </conditionalFormatting>
  <conditionalFormatting sqref="K8">
    <cfRule type="cellIs" dxfId="1" priority="3" operator="equal">
      <formula>"No"</formula>
    </cfRule>
  </conditionalFormatting>
  <conditionalFormatting sqref="K16">
    <cfRule type="cellIs" dxfId="0" priority="2" operator="equal">
      <formula>"No"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A5" sqref="A5:B12"/>
    </sheetView>
  </sheetViews>
  <sheetFormatPr baseColWidth="10" defaultColWidth="8.83203125" defaultRowHeight="15" x14ac:dyDescent="0.2"/>
  <sheetData>
    <row r="1" spans="1:3" x14ac:dyDescent="0.2">
      <c r="A1" s="2" t="s">
        <v>15</v>
      </c>
      <c r="B1" s="2" t="s">
        <v>16</v>
      </c>
      <c r="C1" s="2" t="s">
        <v>17</v>
      </c>
    </row>
    <row r="2" spans="1:3" x14ac:dyDescent="0.2">
      <c r="A2">
        <v>0.2</v>
      </c>
      <c r="B2">
        <v>17</v>
      </c>
      <c r="C2">
        <v>9</v>
      </c>
    </row>
    <row r="5" spans="1:3" x14ac:dyDescent="0.2">
      <c r="A5" s="4" t="s">
        <v>19</v>
      </c>
      <c r="B5" t="s">
        <v>29</v>
      </c>
    </row>
    <row r="6" spans="1:3" x14ac:dyDescent="0.2">
      <c r="A6" s="4" t="s">
        <v>30</v>
      </c>
      <c r="B6" t="s">
        <v>31</v>
      </c>
    </row>
    <row r="7" spans="1:3" x14ac:dyDescent="0.2">
      <c r="A7" s="4" t="s">
        <v>32</v>
      </c>
      <c r="B7" t="s">
        <v>33</v>
      </c>
    </row>
    <row r="8" spans="1:3" x14ac:dyDescent="0.2">
      <c r="A8" s="4" t="s">
        <v>20</v>
      </c>
      <c r="B8" t="s">
        <v>34</v>
      </c>
    </row>
    <row r="9" spans="1:3" x14ac:dyDescent="0.2">
      <c r="A9" s="4" t="s">
        <v>21</v>
      </c>
      <c r="B9" t="s">
        <v>35</v>
      </c>
    </row>
    <row r="10" spans="1:3" x14ac:dyDescent="0.2">
      <c r="A10" s="4" t="s">
        <v>22</v>
      </c>
      <c r="B10" t="s">
        <v>36</v>
      </c>
    </row>
    <row r="11" spans="1:3" x14ac:dyDescent="0.2">
      <c r="A11" s="4" t="s">
        <v>23</v>
      </c>
      <c r="B11" t="s">
        <v>37</v>
      </c>
    </row>
    <row r="12" spans="1:3" x14ac:dyDescent="0.2">
      <c r="A12" s="4" t="s">
        <v>24</v>
      </c>
      <c r="B1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</vt:lpstr>
      <vt:lpstr>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Anthoula Revythiadou</cp:lastModifiedBy>
  <dcterms:created xsi:type="dcterms:W3CDTF">2025-09-18T10:12:22Z</dcterms:created>
  <dcterms:modified xsi:type="dcterms:W3CDTF">2026-04-15T15:59:43Z</dcterms:modified>
</cp:coreProperties>
</file>